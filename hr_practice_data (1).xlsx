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New folder\"/>
    </mc:Choice>
  </mc:AlternateContent>
  <xr:revisionPtr revIDLastSave="0" documentId="13_ncr:1_{0D9518CE-7B3E-4EEC-9913-F31474147BF0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heet5" sheetId="13" r:id="rId1"/>
    <sheet name="Employees" sheetId="1" r:id="rId2"/>
    <sheet name="Hr Dashboard" sheetId="8" r:id="rId3"/>
    <sheet name="Data_Clean" sheetId="6" r:id="rId4"/>
    <sheet name="Departments" sheetId="2" r:id="rId5"/>
    <sheet name="Report Summary" sheetId="15" r:id="rId6"/>
  </sheets>
  <definedNames>
    <definedName name="_xlnm._FilterDatabase" localSheetId="1" hidden="1">Employees!$A$1:$M$101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1" l="1"/>
  <c r="S17" i="1"/>
  <c r="S19" i="1"/>
  <c r="S13" i="1"/>
  <c r="S11" i="1"/>
  <c r="S9" i="1"/>
  <c r="S7" i="1"/>
  <c r="S5" i="1"/>
  <c r="U101" i="6"/>
  <c r="T101" i="6"/>
  <c r="S101" i="6"/>
  <c r="Q101" i="6"/>
  <c r="P101" i="6"/>
  <c r="R101" i="6" s="1"/>
  <c r="O101" i="6"/>
  <c r="N101" i="6"/>
  <c r="U100" i="6"/>
  <c r="T100" i="6"/>
  <c r="S100" i="6"/>
  <c r="Q100" i="6"/>
  <c r="P100" i="6"/>
  <c r="R100" i="6" s="1"/>
  <c r="O100" i="6"/>
  <c r="N100" i="6"/>
  <c r="U99" i="6"/>
  <c r="T99" i="6"/>
  <c r="S99" i="6"/>
  <c r="Q99" i="6"/>
  <c r="P99" i="6"/>
  <c r="R99" i="6" s="1"/>
  <c r="O99" i="6"/>
  <c r="N99" i="6"/>
  <c r="U98" i="6"/>
  <c r="T98" i="6"/>
  <c r="S98" i="6"/>
  <c r="Q98" i="6"/>
  <c r="P98" i="6"/>
  <c r="R98" i="6" s="1"/>
  <c r="O98" i="6"/>
  <c r="N98" i="6"/>
  <c r="U97" i="6"/>
  <c r="T97" i="6"/>
  <c r="S97" i="6"/>
  <c r="Q97" i="6"/>
  <c r="P97" i="6"/>
  <c r="R97" i="6" s="1"/>
  <c r="O97" i="6"/>
  <c r="N97" i="6"/>
  <c r="U96" i="6"/>
  <c r="T96" i="6"/>
  <c r="S96" i="6"/>
  <c r="Q96" i="6"/>
  <c r="P96" i="6"/>
  <c r="R96" i="6" s="1"/>
  <c r="O96" i="6"/>
  <c r="N96" i="6"/>
  <c r="U95" i="6"/>
  <c r="T95" i="6"/>
  <c r="S95" i="6"/>
  <c r="Q95" i="6"/>
  <c r="P95" i="6"/>
  <c r="R95" i="6" s="1"/>
  <c r="O95" i="6"/>
  <c r="N95" i="6"/>
  <c r="U94" i="6"/>
  <c r="T94" i="6"/>
  <c r="S94" i="6"/>
  <c r="Q94" i="6"/>
  <c r="P94" i="6"/>
  <c r="R94" i="6" s="1"/>
  <c r="O94" i="6"/>
  <c r="N94" i="6"/>
  <c r="U93" i="6"/>
  <c r="T93" i="6"/>
  <c r="S93" i="6"/>
  <c r="Q93" i="6"/>
  <c r="P93" i="6"/>
  <c r="R93" i="6" s="1"/>
  <c r="O93" i="6"/>
  <c r="N93" i="6"/>
  <c r="U92" i="6"/>
  <c r="T92" i="6"/>
  <c r="S92" i="6"/>
  <c r="Q92" i="6"/>
  <c r="P92" i="6"/>
  <c r="R92" i="6" s="1"/>
  <c r="O92" i="6"/>
  <c r="N92" i="6"/>
  <c r="U91" i="6"/>
  <c r="T91" i="6"/>
  <c r="S91" i="6"/>
  <c r="Q91" i="6"/>
  <c r="P91" i="6"/>
  <c r="R91" i="6" s="1"/>
  <c r="O91" i="6"/>
  <c r="N91" i="6"/>
  <c r="U90" i="6"/>
  <c r="T90" i="6"/>
  <c r="S90" i="6"/>
  <c r="Q90" i="6"/>
  <c r="P90" i="6"/>
  <c r="R90" i="6" s="1"/>
  <c r="O90" i="6"/>
  <c r="N90" i="6"/>
  <c r="U89" i="6"/>
  <c r="T89" i="6"/>
  <c r="S89" i="6"/>
  <c r="Q89" i="6"/>
  <c r="P89" i="6"/>
  <c r="R89" i="6" s="1"/>
  <c r="O89" i="6"/>
  <c r="N89" i="6"/>
  <c r="U88" i="6"/>
  <c r="T88" i="6"/>
  <c r="S88" i="6"/>
  <c r="Q88" i="6"/>
  <c r="P88" i="6"/>
  <c r="R88" i="6" s="1"/>
  <c r="O88" i="6"/>
  <c r="N88" i="6"/>
  <c r="U87" i="6"/>
  <c r="T87" i="6"/>
  <c r="S87" i="6"/>
  <c r="Q87" i="6"/>
  <c r="P87" i="6"/>
  <c r="R87" i="6" s="1"/>
  <c r="O87" i="6"/>
  <c r="N87" i="6"/>
  <c r="U86" i="6"/>
  <c r="T86" i="6"/>
  <c r="S86" i="6"/>
  <c r="Q86" i="6"/>
  <c r="P86" i="6"/>
  <c r="R86" i="6" s="1"/>
  <c r="O86" i="6"/>
  <c r="N86" i="6"/>
  <c r="U85" i="6"/>
  <c r="T85" i="6"/>
  <c r="S85" i="6"/>
  <c r="Q85" i="6"/>
  <c r="P85" i="6"/>
  <c r="R85" i="6" s="1"/>
  <c r="O85" i="6"/>
  <c r="N85" i="6"/>
  <c r="U84" i="6"/>
  <c r="T84" i="6"/>
  <c r="S84" i="6"/>
  <c r="Q84" i="6"/>
  <c r="P84" i="6"/>
  <c r="R84" i="6" s="1"/>
  <c r="O84" i="6"/>
  <c r="N84" i="6"/>
  <c r="U83" i="6"/>
  <c r="T83" i="6"/>
  <c r="S83" i="6"/>
  <c r="Q83" i="6"/>
  <c r="P83" i="6"/>
  <c r="R83" i="6" s="1"/>
  <c r="O83" i="6"/>
  <c r="N83" i="6"/>
  <c r="U82" i="6"/>
  <c r="T82" i="6"/>
  <c r="S82" i="6"/>
  <c r="Q82" i="6"/>
  <c r="P82" i="6"/>
  <c r="R82" i="6" s="1"/>
  <c r="O82" i="6"/>
  <c r="N82" i="6"/>
  <c r="U81" i="6"/>
  <c r="T81" i="6"/>
  <c r="S81" i="6"/>
  <c r="Q81" i="6"/>
  <c r="P81" i="6"/>
  <c r="R81" i="6" s="1"/>
  <c r="O81" i="6"/>
  <c r="N81" i="6"/>
  <c r="U80" i="6"/>
  <c r="T80" i="6"/>
  <c r="S80" i="6"/>
  <c r="Q80" i="6"/>
  <c r="P80" i="6"/>
  <c r="R80" i="6" s="1"/>
  <c r="O80" i="6"/>
  <c r="N80" i="6"/>
  <c r="U79" i="6"/>
  <c r="T79" i="6"/>
  <c r="S79" i="6"/>
  <c r="Q79" i="6"/>
  <c r="P79" i="6"/>
  <c r="R79" i="6" s="1"/>
  <c r="O79" i="6"/>
  <c r="N79" i="6"/>
  <c r="U78" i="6"/>
  <c r="T78" i="6"/>
  <c r="S78" i="6"/>
  <c r="Q78" i="6"/>
  <c r="P78" i="6"/>
  <c r="R78" i="6" s="1"/>
  <c r="O78" i="6"/>
  <c r="N78" i="6"/>
  <c r="U77" i="6"/>
  <c r="T77" i="6"/>
  <c r="S77" i="6"/>
  <c r="Q77" i="6"/>
  <c r="P77" i="6"/>
  <c r="R77" i="6" s="1"/>
  <c r="O77" i="6"/>
  <c r="N77" i="6"/>
  <c r="U76" i="6"/>
  <c r="T76" i="6"/>
  <c r="S76" i="6"/>
  <c r="Q76" i="6"/>
  <c r="P76" i="6"/>
  <c r="R76" i="6" s="1"/>
  <c r="O76" i="6"/>
  <c r="N76" i="6"/>
  <c r="U75" i="6"/>
  <c r="T75" i="6"/>
  <c r="S75" i="6"/>
  <c r="Q75" i="6"/>
  <c r="P75" i="6"/>
  <c r="R75" i="6" s="1"/>
  <c r="O75" i="6"/>
  <c r="N75" i="6"/>
  <c r="U74" i="6"/>
  <c r="T74" i="6"/>
  <c r="S74" i="6"/>
  <c r="Q74" i="6"/>
  <c r="P74" i="6"/>
  <c r="R74" i="6" s="1"/>
  <c r="O74" i="6"/>
  <c r="N74" i="6"/>
  <c r="U73" i="6"/>
  <c r="T73" i="6"/>
  <c r="S73" i="6"/>
  <c r="Q73" i="6"/>
  <c r="P73" i="6"/>
  <c r="R73" i="6" s="1"/>
  <c r="O73" i="6"/>
  <c r="N73" i="6"/>
  <c r="U72" i="6"/>
  <c r="T72" i="6"/>
  <c r="S72" i="6"/>
  <c r="Q72" i="6"/>
  <c r="P72" i="6"/>
  <c r="R72" i="6" s="1"/>
  <c r="O72" i="6"/>
  <c r="N72" i="6"/>
  <c r="U71" i="6"/>
  <c r="T71" i="6"/>
  <c r="S71" i="6"/>
  <c r="Q71" i="6"/>
  <c r="P71" i="6"/>
  <c r="R71" i="6" s="1"/>
  <c r="O71" i="6"/>
  <c r="N71" i="6"/>
  <c r="U70" i="6"/>
  <c r="T70" i="6"/>
  <c r="S70" i="6"/>
  <c r="Q70" i="6"/>
  <c r="P70" i="6"/>
  <c r="R70" i="6" s="1"/>
  <c r="O70" i="6"/>
  <c r="N70" i="6"/>
  <c r="U69" i="6"/>
  <c r="T69" i="6"/>
  <c r="S69" i="6"/>
  <c r="Q69" i="6"/>
  <c r="P69" i="6"/>
  <c r="R69" i="6" s="1"/>
  <c r="O69" i="6"/>
  <c r="N69" i="6"/>
  <c r="U68" i="6"/>
  <c r="T68" i="6"/>
  <c r="S68" i="6"/>
  <c r="Q68" i="6"/>
  <c r="P68" i="6"/>
  <c r="R68" i="6" s="1"/>
  <c r="O68" i="6"/>
  <c r="N68" i="6"/>
  <c r="U67" i="6"/>
  <c r="T67" i="6"/>
  <c r="S67" i="6"/>
  <c r="Q67" i="6"/>
  <c r="P67" i="6"/>
  <c r="R67" i="6" s="1"/>
  <c r="O67" i="6"/>
  <c r="N67" i="6"/>
  <c r="U66" i="6"/>
  <c r="T66" i="6"/>
  <c r="S66" i="6"/>
  <c r="Q66" i="6"/>
  <c r="P66" i="6"/>
  <c r="R66" i="6" s="1"/>
  <c r="O66" i="6"/>
  <c r="N66" i="6"/>
  <c r="U65" i="6"/>
  <c r="T65" i="6"/>
  <c r="S65" i="6"/>
  <c r="Q65" i="6"/>
  <c r="P65" i="6"/>
  <c r="R65" i="6" s="1"/>
  <c r="O65" i="6"/>
  <c r="N65" i="6"/>
  <c r="U64" i="6"/>
  <c r="T64" i="6"/>
  <c r="S64" i="6"/>
  <c r="Q64" i="6"/>
  <c r="P64" i="6"/>
  <c r="R64" i="6" s="1"/>
  <c r="O64" i="6"/>
  <c r="N64" i="6"/>
  <c r="U63" i="6"/>
  <c r="T63" i="6"/>
  <c r="S63" i="6"/>
  <c r="Q63" i="6"/>
  <c r="P63" i="6"/>
  <c r="R63" i="6" s="1"/>
  <c r="O63" i="6"/>
  <c r="N63" i="6"/>
  <c r="U62" i="6"/>
  <c r="T62" i="6"/>
  <c r="S62" i="6"/>
  <c r="Q62" i="6"/>
  <c r="P62" i="6"/>
  <c r="R62" i="6" s="1"/>
  <c r="O62" i="6"/>
  <c r="N62" i="6"/>
  <c r="U61" i="6"/>
  <c r="T61" i="6"/>
  <c r="S61" i="6"/>
  <c r="Q61" i="6"/>
  <c r="P61" i="6"/>
  <c r="R61" i="6" s="1"/>
  <c r="O61" i="6"/>
  <c r="N61" i="6"/>
  <c r="U60" i="6"/>
  <c r="T60" i="6"/>
  <c r="S60" i="6"/>
  <c r="Q60" i="6"/>
  <c r="P60" i="6"/>
  <c r="R60" i="6" s="1"/>
  <c r="O60" i="6"/>
  <c r="N60" i="6"/>
  <c r="U59" i="6"/>
  <c r="T59" i="6"/>
  <c r="S59" i="6"/>
  <c r="Q59" i="6"/>
  <c r="P59" i="6"/>
  <c r="R59" i="6" s="1"/>
  <c r="O59" i="6"/>
  <c r="N59" i="6"/>
  <c r="U58" i="6"/>
  <c r="T58" i="6"/>
  <c r="S58" i="6"/>
  <c r="Q58" i="6"/>
  <c r="P58" i="6"/>
  <c r="R58" i="6" s="1"/>
  <c r="O58" i="6"/>
  <c r="N58" i="6"/>
  <c r="U57" i="6"/>
  <c r="T57" i="6"/>
  <c r="S57" i="6"/>
  <c r="Q57" i="6"/>
  <c r="P57" i="6"/>
  <c r="R57" i="6" s="1"/>
  <c r="O57" i="6"/>
  <c r="N57" i="6"/>
  <c r="U56" i="6"/>
  <c r="T56" i="6"/>
  <c r="S56" i="6"/>
  <c r="Q56" i="6"/>
  <c r="P56" i="6"/>
  <c r="R56" i="6" s="1"/>
  <c r="O56" i="6"/>
  <c r="N56" i="6"/>
  <c r="U55" i="6"/>
  <c r="T55" i="6"/>
  <c r="S55" i="6"/>
  <c r="Q55" i="6"/>
  <c r="P55" i="6"/>
  <c r="R55" i="6" s="1"/>
  <c r="O55" i="6"/>
  <c r="N55" i="6"/>
  <c r="U54" i="6"/>
  <c r="T54" i="6"/>
  <c r="S54" i="6"/>
  <c r="Q54" i="6"/>
  <c r="P54" i="6"/>
  <c r="R54" i="6" s="1"/>
  <c r="O54" i="6"/>
  <c r="N54" i="6"/>
  <c r="U53" i="6"/>
  <c r="T53" i="6"/>
  <c r="S53" i="6"/>
  <c r="Q53" i="6"/>
  <c r="P53" i="6"/>
  <c r="R53" i="6" s="1"/>
  <c r="O53" i="6"/>
  <c r="N53" i="6"/>
  <c r="U52" i="6"/>
  <c r="T52" i="6"/>
  <c r="S52" i="6"/>
  <c r="Q52" i="6"/>
  <c r="P52" i="6"/>
  <c r="R52" i="6" s="1"/>
  <c r="O52" i="6"/>
  <c r="N52" i="6"/>
  <c r="U51" i="6"/>
  <c r="T51" i="6"/>
  <c r="S51" i="6"/>
  <c r="Q51" i="6"/>
  <c r="P51" i="6"/>
  <c r="R51" i="6" s="1"/>
  <c r="O51" i="6"/>
  <c r="N51" i="6"/>
  <c r="U50" i="6"/>
  <c r="T50" i="6"/>
  <c r="S50" i="6"/>
  <c r="Q50" i="6"/>
  <c r="P50" i="6"/>
  <c r="R50" i="6" s="1"/>
  <c r="O50" i="6"/>
  <c r="N50" i="6"/>
  <c r="U49" i="6"/>
  <c r="T49" i="6"/>
  <c r="S49" i="6"/>
  <c r="Q49" i="6"/>
  <c r="P49" i="6"/>
  <c r="R49" i="6" s="1"/>
  <c r="O49" i="6"/>
  <c r="N49" i="6"/>
  <c r="U48" i="6"/>
  <c r="T48" i="6"/>
  <c r="S48" i="6"/>
  <c r="Q48" i="6"/>
  <c r="P48" i="6"/>
  <c r="R48" i="6" s="1"/>
  <c r="O48" i="6"/>
  <c r="N48" i="6"/>
  <c r="U47" i="6"/>
  <c r="T47" i="6"/>
  <c r="S47" i="6"/>
  <c r="Q47" i="6"/>
  <c r="P47" i="6"/>
  <c r="R47" i="6" s="1"/>
  <c r="O47" i="6"/>
  <c r="N47" i="6"/>
  <c r="U46" i="6"/>
  <c r="T46" i="6"/>
  <c r="S46" i="6"/>
  <c r="Q46" i="6"/>
  <c r="P46" i="6"/>
  <c r="R46" i="6" s="1"/>
  <c r="O46" i="6"/>
  <c r="N46" i="6"/>
  <c r="U45" i="6"/>
  <c r="T45" i="6"/>
  <c r="S45" i="6"/>
  <c r="Q45" i="6"/>
  <c r="P45" i="6"/>
  <c r="R45" i="6" s="1"/>
  <c r="O45" i="6"/>
  <c r="N45" i="6"/>
  <c r="U44" i="6"/>
  <c r="T44" i="6"/>
  <c r="S44" i="6"/>
  <c r="Q44" i="6"/>
  <c r="P44" i="6"/>
  <c r="R44" i="6" s="1"/>
  <c r="O44" i="6"/>
  <c r="N44" i="6"/>
  <c r="U43" i="6"/>
  <c r="T43" i="6"/>
  <c r="S43" i="6"/>
  <c r="Q43" i="6"/>
  <c r="P43" i="6"/>
  <c r="R43" i="6" s="1"/>
  <c r="O43" i="6"/>
  <c r="N43" i="6"/>
  <c r="U42" i="6"/>
  <c r="T42" i="6"/>
  <c r="S42" i="6"/>
  <c r="Q42" i="6"/>
  <c r="P42" i="6"/>
  <c r="R42" i="6" s="1"/>
  <c r="O42" i="6"/>
  <c r="N42" i="6"/>
  <c r="U41" i="6"/>
  <c r="T41" i="6"/>
  <c r="S41" i="6"/>
  <c r="Q41" i="6"/>
  <c r="P41" i="6"/>
  <c r="R41" i="6" s="1"/>
  <c r="O41" i="6"/>
  <c r="N41" i="6"/>
  <c r="U40" i="6"/>
  <c r="T40" i="6"/>
  <c r="S40" i="6"/>
  <c r="Q40" i="6"/>
  <c r="P40" i="6"/>
  <c r="R40" i="6" s="1"/>
  <c r="O40" i="6"/>
  <c r="N40" i="6"/>
  <c r="U39" i="6"/>
  <c r="T39" i="6"/>
  <c r="S39" i="6"/>
  <c r="Q39" i="6"/>
  <c r="P39" i="6"/>
  <c r="R39" i="6" s="1"/>
  <c r="O39" i="6"/>
  <c r="N39" i="6"/>
  <c r="U38" i="6"/>
  <c r="T38" i="6"/>
  <c r="S38" i="6"/>
  <c r="Q38" i="6"/>
  <c r="P38" i="6"/>
  <c r="R38" i="6" s="1"/>
  <c r="O38" i="6"/>
  <c r="N38" i="6"/>
  <c r="U37" i="6"/>
  <c r="T37" i="6"/>
  <c r="S37" i="6"/>
  <c r="Q37" i="6"/>
  <c r="P37" i="6"/>
  <c r="R37" i="6" s="1"/>
  <c r="O37" i="6"/>
  <c r="N37" i="6"/>
  <c r="U36" i="6"/>
  <c r="T36" i="6"/>
  <c r="S36" i="6"/>
  <c r="Q36" i="6"/>
  <c r="P36" i="6"/>
  <c r="R36" i="6" s="1"/>
  <c r="O36" i="6"/>
  <c r="N36" i="6"/>
  <c r="U35" i="6"/>
  <c r="T35" i="6"/>
  <c r="S35" i="6"/>
  <c r="Q35" i="6"/>
  <c r="P35" i="6"/>
  <c r="R35" i="6" s="1"/>
  <c r="O35" i="6"/>
  <c r="N35" i="6"/>
  <c r="U34" i="6"/>
  <c r="T34" i="6"/>
  <c r="S34" i="6"/>
  <c r="Q34" i="6"/>
  <c r="P34" i="6"/>
  <c r="R34" i="6" s="1"/>
  <c r="O34" i="6"/>
  <c r="N34" i="6"/>
  <c r="U33" i="6"/>
  <c r="T33" i="6"/>
  <c r="S33" i="6"/>
  <c r="Q33" i="6"/>
  <c r="P33" i="6"/>
  <c r="R33" i="6" s="1"/>
  <c r="O33" i="6"/>
  <c r="N33" i="6"/>
  <c r="U32" i="6"/>
  <c r="T32" i="6"/>
  <c r="S32" i="6"/>
  <c r="Q32" i="6"/>
  <c r="P32" i="6"/>
  <c r="R32" i="6" s="1"/>
  <c r="O32" i="6"/>
  <c r="N32" i="6"/>
  <c r="U31" i="6"/>
  <c r="T31" i="6"/>
  <c r="S31" i="6"/>
  <c r="Q31" i="6"/>
  <c r="P31" i="6"/>
  <c r="R31" i="6" s="1"/>
  <c r="O31" i="6"/>
  <c r="N31" i="6"/>
  <c r="U30" i="6"/>
  <c r="T30" i="6"/>
  <c r="S30" i="6"/>
  <c r="Q30" i="6"/>
  <c r="P30" i="6"/>
  <c r="R30" i="6" s="1"/>
  <c r="O30" i="6"/>
  <c r="N30" i="6"/>
  <c r="U29" i="6"/>
  <c r="T29" i="6"/>
  <c r="S29" i="6"/>
  <c r="Q29" i="6"/>
  <c r="P29" i="6"/>
  <c r="R29" i="6" s="1"/>
  <c r="O29" i="6"/>
  <c r="N29" i="6"/>
  <c r="U28" i="6"/>
  <c r="T28" i="6"/>
  <c r="S28" i="6"/>
  <c r="Q28" i="6"/>
  <c r="P28" i="6"/>
  <c r="R28" i="6" s="1"/>
  <c r="O28" i="6"/>
  <c r="N28" i="6"/>
  <c r="U27" i="6"/>
  <c r="T27" i="6"/>
  <c r="S27" i="6"/>
  <c r="Q27" i="6"/>
  <c r="P27" i="6"/>
  <c r="R27" i="6" s="1"/>
  <c r="O27" i="6"/>
  <c r="N27" i="6"/>
  <c r="U26" i="6"/>
  <c r="T26" i="6"/>
  <c r="S26" i="6"/>
  <c r="Q26" i="6"/>
  <c r="P26" i="6"/>
  <c r="R26" i="6" s="1"/>
  <c r="O26" i="6"/>
  <c r="N26" i="6"/>
  <c r="U25" i="6"/>
  <c r="T25" i="6"/>
  <c r="S25" i="6"/>
  <c r="Q25" i="6"/>
  <c r="P25" i="6"/>
  <c r="R25" i="6" s="1"/>
  <c r="O25" i="6"/>
  <c r="N25" i="6"/>
  <c r="U24" i="6"/>
  <c r="T24" i="6"/>
  <c r="S24" i="6"/>
  <c r="Q24" i="6"/>
  <c r="P24" i="6"/>
  <c r="R24" i="6" s="1"/>
  <c r="O24" i="6"/>
  <c r="N24" i="6"/>
  <c r="U23" i="6"/>
  <c r="T23" i="6"/>
  <c r="S23" i="6"/>
  <c r="Q23" i="6"/>
  <c r="P23" i="6"/>
  <c r="R23" i="6" s="1"/>
  <c r="O23" i="6"/>
  <c r="N23" i="6"/>
  <c r="U22" i="6"/>
  <c r="T22" i="6"/>
  <c r="S22" i="6"/>
  <c r="Q22" i="6"/>
  <c r="P22" i="6"/>
  <c r="R22" i="6" s="1"/>
  <c r="O22" i="6"/>
  <c r="N22" i="6"/>
  <c r="U21" i="6"/>
  <c r="T21" i="6"/>
  <c r="S21" i="6"/>
  <c r="Q21" i="6"/>
  <c r="P21" i="6"/>
  <c r="R21" i="6" s="1"/>
  <c r="O21" i="6"/>
  <c r="N21" i="6"/>
  <c r="U20" i="6"/>
  <c r="T20" i="6"/>
  <c r="S20" i="6"/>
  <c r="Q20" i="6"/>
  <c r="P20" i="6"/>
  <c r="R20" i="6" s="1"/>
  <c r="O20" i="6"/>
  <c r="N20" i="6"/>
  <c r="U19" i="6"/>
  <c r="T19" i="6"/>
  <c r="S19" i="6"/>
  <c r="Q19" i="6"/>
  <c r="P19" i="6"/>
  <c r="R19" i="6" s="1"/>
  <c r="O19" i="6"/>
  <c r="N19" i="6"/>
  <c r="U18" i="6"/>
  <c r="T18" i="6"/>
  <c r="S18" i="6"/>
  <c r="Q18" i="6"/>
  <c r="P18" i="6"/>
  <c r="R18" i="6" s="1"/>
  <c r="O18" i="6"/>
  <c r="N18" i="6"/>
  <c r="U17" i="6"/>
  <c r="T17" i="6"/>
  <c r="S17" i="6"/>
  <c r="Q17" i="6"/>
  <c r="P17" i="6"/>
  <c r="R17" i="6" s="1"/>
  <c r="O17" i="6"/>
  <c r="N17" i="6"/>
  <c r="U16" i="6"/>
  <c r="T16" i="6"/>
  <c r="S16" i="6"/>
  <c r="Q16" i="6"/>
  <c r="P16" i="6"/>
  <c r="R16" i="6" s="1"/>
  <c r="O16" i="6"/>
  <c r="N16" i="6"/>
  <c r="U15" i="6"/>
  <c r="T15" i="6"/>
  <c r="S15" i="6"/>
  <c r="Q15" i="6"/>
  <c r="P15" i="6"/>
  <c r="R15" i="6" s="1"/>
  <c r="O15" i="6"/>
  <c r="N15" i="6"/>
  <c r="U14" i="6"/>
  <c r="T14" i="6"/>
  <c r="S14" i="6"/>
  <c r="Q14" i="6"/>
  <c r="P14" i="6"/>
  <c r="R14" i="6" s="1"/>
  <c r="O14" i="6"/>
  <c r="N14" i="6"/>
  <c r="U13" i="6"/>
  <c r="T13" i="6"/>
  <c r="S13" i="6"/>
  <c r="Q13" i="6"/>
  <c r="P13" i="6"/>
  <c r="R13" i="6" s="1"/>
  <c r="O13" i="6"/>
  <c r="N13" i="6"/>
  <c r="U12" i="6"/>
  <c r="T12" i="6"/>
  <c r="S12" i="6"/>
  <c r="Q12" i="6"/>
  <c r="P12" i="6"/>
  <c r="R12" i="6" s="1"/>
  <c r="O12" i="6"/>
  <c r="N12" i="6"/>
  <c r="U11" i="6"/>
  <c r="T11" i="6"/>
  <c r="S11" i="6"/>
  <c r="Q11" i="6"/>
  <c r="P11" i="6"/>
  <c r="R11" i="6" s="1"/>
  <c r="O11" i="6"/>
  <c r="N11" i="6"/>
  <c r="U10" i="6"/>
  <c r="T10" i="6"/>
  <c r="S10" i="6"/>
  <c r="Q10" i="6"/>
  <c r="P10" i="6"/>
  <c r="R10" i="6" s="1"/>
  <c r="O10" i="6"/>
  <c r="N10" i="6"/>
  <c r="U9" i="6"/>
  <c r="T9" i="6"/>
  <c r="S9" i="6"/>
  <c r="Q9" i="6"/>
  <c r="P9" i="6"/>
  <c r="R9" i="6" s="1"/>
  <c r="O9" i="6"/>
  <c r="N9" i="6"/>
  <c r="U8" i="6"/>
  <c r="T8" i="6"/>
  <c r="S8" i="6"/>
  <c r="Q8" i="6"/>
  <c r="P8" i="6"/>
  <c r="R8" i="6" s="1"/>
  <c r="O8" i="6"/>
  <c r="N8" i="6"/>
  <c r="U7" i="6"/>
  <c r="T7" i="6"/>
  <c r="S7" i="6"/>
  <c r="Q7" i="6"/>
  <c r="P7" i="6"/>
  <c r="R7" i="6" s="1"/>
  <c r="O7" i="6"/>
  <c r="N7" i="6"/>
  <c r="U6" i="6"/>
  <c r="T6" i="6"/>
  <c r="S6" i="6"/>
  <c r="Q6" i="6"/>
  <c r="P6" i="6"/>
  <c r="R6" i="6" s="1"/>
  <c r="O6" i="6"/>
  <c r="N6" i="6"/>
  <c r="U5" i="6"/>
  <c r="T5" i="6"/>
  <c r="S5" i="6"/>
  <c r="Q5" i="6"/>
  <c r="P5" i="6"/>
  <c r="R5" i="6" s="1"/>
  <c r="O5" i="6"/>
  <c r="N5" i="6"/>
  <c r="U4" i="6"/>
  <c r="T4" i="6"/>
  <c r="S4" i="6"/>
  <c r="Q4" i="6"/>
  <c r="P4" i="6"/>
  <c r="R4" i="6" s="1"/>
  <c r="O4" i="6"/>
  <c r="N4" i="6"/>
  <c r="U3" i="6"/>
  <c r="T3" i="6"/>
  <c r="S3" i="6"/>
  <c r="Q3" i="6"/>
  <c r="P3" i="6"/>
  <c r="R3" i="6" s="1"/>
  <c r="O3" i="6"/>
  <c r="N3" i="6"/>
  <c r="U2" i="6"/>
  <c r="T2" i="6"/>
  <c r="S2" i="6"/>
  <c r="Q2" i="6"/>
  <c r="P2" i="6"/>
  <c r="R2" i="6" s="1"/>
  <c r="O2" i="6"/>
  <c r="N2" i="6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2" i="1"/>
  <c r="S21" i="1" l="1"/>
</calcChain>
</file>

<file path=xl/sharedStrings.xml><?xml version="1.0" encoding="utf-8"?>
<sst xmlns="http://schemas.openxmlformats.org/spreadsheetml/2006/main" count="2101" uniqueCount="355">
  <si>
    <t>Emp ID</t>
  </si>
  <si>
    <t>First Name</t>
  </si>
  <si>
    <t>Last Name</t>
  </si>
  <si>
    <t>Gender</t>
  </si>
  <si>
    <t>Department</t>
  </si>
  <si>
    <t>Job Title</t>
  </si>
  <si>
    <t>Hire Date</t>
  </si>
  <si>
    <t>Salary</t>
  </si>
  <si>
    <t>Bonus</t>
  </si>
  <si>
    <t>Performance Rating</t>
  </si>
  <si>
    <t>City</t>
  </si>
  <si>
    <t>Status</t>
  </si>
  <si>
    <t>Phone</t>
  </si>
  <si>
    <t>E1001</t>
  </si>
  <si>
    <t>Ananya</t>
  </si>
  <si>
    <t>Khan</t>
  </si>
  <si>
    <t>Female</t>
  </si>
  <si>
    <t>HR</t>
  </si>
  <si>
    <t>HR Executive</t>
  </si>
  <si>
    <t>Average</t>
  </si>
  <si>
    <t>Bangalore</t>
  </si>
  <si>
    <t>Active</t>
  </si>
  <si>
    <t>9644854973</t>
  </si>
  <si>
    <t>E1002</t>
  </si>
  <si>
    <t>Divya</t>
  </si>
  <si>
    <t>Mehta</t>
  </si>
  <si>
    <t>Engineering</t>
  </si>
  <si>
    <t>Developer</t>
  </si>
  <si>
    <t>Good</t>
  </si>
  <si>
    <t>Chennai</t>
  </si>
  <si>
    <t>E1003</t>
  </si>
  <si>
    <t>Priya</t>
  </si>
  <si>
    <t>Das</t>
  </si>
  <si>
    <t>Sales</t>
  </si>
  <si>
    <t>Sales Lead</t>
  </si>
  <si>
    <t>Hyderabad</t>
  </si>
  <si>
    <t>E1004</t>
  </si>
  <si>
    <t>Rahul</t>
  </si>
  <si>
    <t>Patel</t>
  </si>
  <si>
    <t>Male</t>
  </si>
  <si>
    <t>Finance</t>
  </si>
  <si>
    <t>Finance Manager</t>
  </si>
  <si>
    <t>Mumbai</t>
  </si>
  <si>
    <t>E1005</t>
  </si>
  <si>
    <t>Emma</t>
  </si>
  <si>
    <t>Nair</t>
  </si>
  <si>
    <t>Resigned</t>
  </si>
  <si>
    <t>9366746013</t>
  </si>
  <si>
    <t>E1006</t>
  </si>
  <si>
    <t>Nikhil</t>
  </si>
  <si>
    <t>Davis</t>
  </si>
  <si>
    <t>Marketing</t>
  </si>
  <si>
    <t>Marketing Analyst</t>
  </si>
  <si>
    <t>Delhi</t>
  </si>
  <si>
    <t>9226772164</t>
  </si>
  <si>
    <t>E1007</t>
  </si>
  <si>
    <t>Lucas</t>
  </si>
  <si>
    <t>Smith</t>
  </si>
  <si>
    <t>HR Manager</t>
  </si>
  <si>
    <t>9436883827</t>
  </si>
  <si>
    <t>E1008</t>
  </si>
  <si>
    <t>Riya</t>
  </si>
  <si>
    <t>Poor</t>
  </si>
  <si>
    <t>9165143298</t>
  </si>
  <si>
    <t>E1009</t>
  </si>
  <si>
    <t>Kavya</t>
  </si>
  <si>
    <t>9630098818</t>
  </si>
  <si>
    <t>E1010</t>
  </si>
  <si>
    <t>Liam</t>
  </si>
  <si>
    <t>Excellent</t>
  </si>
  <si>
    <t>9247023327</t>
  </si>
  <si>
    <t>E1011</t>
  </si>
  <si>
    <t>Pooja</t>
  </si>
  <si>
    <t>Recruiter</t>
  </si>
  <si>
    <t>9620724767</t>
  </si>
  <si>
    <t>E1012</t>
  </si>
  <si>
    <t>Vikram</t>
  </si>
  <si>
    <t>On Leave</t>
  </si>
  <si>
    <t>9653504709</t>
  </si>
  <si>
    <t>E1013</t>
  </si>
  <si>
    <t>E1014</t>
  </si>
  <si>
    <t>Imran</t>
  </si>
  <si>
    <t>Sharma</t>
  </si>
  <si>
    <t>Accountant</t>
  </si>
  <si>
    <t>9758995368</t>
  </si>
  <si>
    <t>E1015</t>
  </si>
  <si>
    <t>Taylor</t>
  </si>
  <si>
    <t>Content Writer</t>
  </si>
  <si>
    <t>9600352373</t>
  </si>
  <si>
    <t>E1016</t>
  </si>
  <si>
    <t>Johnson</t>
  </si>
  <si>
    <t>Senior Developer</t>
  </si>
  <si>
    <t>9320347933</t>
  </si>
  <si>
    <t>E1017</t>
  </si>
  <si>
    <t>Noah</t>
  </si>
  <si>
    <t>9279360017</t>
  </si>
  <si>
    <t>E1018</t>
  </si>
  <si>
    <t>Pune</t>
  </si>
  <si>
    <t>9343459673</t>
  </si>
  <si>
    <t>E1019</t>
  </si>
  <si>
    <t>Olivia</t>
  </si>
  <si>
    <t>Wilson</t>
  </si>
  <si>
    <t>QA Engineer</t>
  </si>
  <si>
    <t>9469668829</t>
  </si>
  <si>
    <t>E1020</t>
  </si>
  <si>
    <t>Rohan</t>
  </si>
  <si>
    <t>Tech Lead</t>
  </si>
  <si>
    <t>9755263987</t>
  </si>
  <si>
    <t>E1021</t>
  </si>
  <si>
    <t>Sophia</t>
  </si>
  <si>
    <t>9291686239</t>
  </si>
  <si>
    <t>E1022</t>
  </si>
  <si>
    <t>Meera</t>
  </si>
  <si>
    <t>Reddy</t>
  </si>
  <si>
    <t>9599669927</t>
  </si>
  <si>
    <t>E1023</t>
  </si>
  <si>
    <t>Gupta</t>
  </si>
  <si>
    <t>SEO Specialist</t>
  </si>
  <si>
    <t>9797582865</t>
  </si>
  <si>
    <t>E1024</t>
  </si>
  <si>
    <t>Karan</t>
  </si>
  <si>
    <t>Account Manager</t>
  </si>
  <si>
    <t>9919994920</t>
  </si>
  <si>
    <t>E1025</t>
  </si>
  <si>
    <t>Ava</t>
  </si>
  <si>
    <t>9654867725</t>
  </si>
  <si>
    <t>E1026</t>
  </si>
  <si>
    <t>Sanjay</t>
  </si>
  <si>
    <t>9260849193</t>
  </si>
  <si>
    <t>E1027</t>
  </si>
  <si>
    <t>9701613399</t>
  </si>
  <si>
    <t>E1028</t>
  </si>
  <si>
    <t>E1029</t>
  </si>
  <si>
    <t>Financial Analyst</t>
  </si>
  <si>
    <t>9378735098</t>
  </si>
  <si>
    <t>E1030</t>
  </si>
  <si>
    <t>Sneha</t>
  </si>
  <si>
    <t>9425107627</t>
  </si>
  <si>
    <t>E1031</t>
  </si>
  <si>
    <t>9274799977</t>
  </si>
  <si>
    <t>E1032</t>
  </si>
  <si>
    <t>Isha</t>
  </si>
  <si>
    <t>9462902921</t>
  </si>
  <si>
    <t>E1033</t>
  </si>
  <si>
    <t>9946498388</t>
  </si>
  <si>
    <t>E1034</t>
  </si>
  <si>
    <t>Brown</t>
  </si>
  <si>
    <t>9377679317</t>
  </si>
  <si>
    <t>E1035</t>
  </si>
  <si>
    <t>9388754324</t>
  </si>
  <si>
    <t>E1036</t>
  </si>
  <si>
    <t>E1037</t>
  </si>
  <si>
    <t>Aarav</t>
  </si>
  <si>
    <t>9434999291</t>
  </si>
  <si>
    <t>E1038</t>
  </si>
  <si>
    <t>9116477768</t>
  </si>
  <si>
    <t>E1039</t>
  </si>
  <si>
    <t>9686162372</t>
  </si>
  <si>
    <t>E1040</t>
  </si>
  <si>
    <t>E1041</t>
  </si>
  <si>
    <t>Sales Executive</t>
  </si>
  <si>
    <t>9360074153</t>
  </si>
  <si>
    <t>E1042</t>
  </si>
  <si>
    <t>9447391878</t>
  </si>
  <si>
    <t>E1043</t>
  </si>
  <si>
    <t>9366480598</t>
  </si>
  <si>
    <t>E1044</t>
  </si>
  <si>
    <t>9728765263</t>
  </si>
  <si>
    <t>E1045</t>
  </si>
  <si>
    <t>E1046</t>
  </si>
  <si>
    <t>9727131272</t>
  </si>
  <si>
    <t>E1047</t>
  </si>
  <si>
    <t>9830857592</t>
  </si>
  <si>
    <t>E1048</t>
  </si>
  <si>
    <t>Amit</t>
  </si>
  <si>
    <t>Singh</t>
  </si>
  <si>
    <t>9370790737</t>
  </si>
  <si>
    <t>E1049</t>
  </si>
  <si>
    <t>9150194735</t>
  </si>
  <si>
    <t>E1050</t>
  </si>
  <si>
    <t>Joshi</t>
  </si>
  <si>
    <t>9621621687</t>
  </si>
  <si>
    <t>E1051</t>
  </si>
  <si>
    <t>John</t>
  </si>
  <si>
    <t>9689566415</t>
  </si>
  <si>
    <t>E1052</t>
  </si>
  <si>
    <t>9325310994</t>
  </si>
  <si>
    <t>E1053</t>
  </si>
  <si>
    <t>9220986608</t>
  </si>
  <si>
    <t>E1054</t>
  </si>
  <si>
    <t>9546871154</t>
  </si>
  <si>
    <t>E1055</t>
  </si>
  <si>
    <t>Mason</t>
  </si>
  <si>
    <t>9865603224</t>
  </si>
  <si>
    <t>E1056</t>
  </si>
  <si>
    <t>9151827478</t>
  </si>
  <si>
    <t>E1057</t>
  </si>
  <si>
    <t>9559290527</t>
  </si>
  <si>
    <t>E1058</t>
  </si>
  <si>
    <t>9407313843</t>
  </si>
  <si>
    <t>E1059</t>
  </si>
  <si>
    <t>9379354398</t>
  </si>
  <si>
    <t>E1060</t>
  </si>
  <si>
    <t>9971692124</t>
  </si>
  <si>
    <t>E1061</t>
  </si>
  <si>
    <t>Mia</t>
  </si>
  <si>
    <t>E1062</t>
  </si>
  <si>
    <t>Neha</t>
  </si>
  <si>
    <t>9511069044</t>
  </si>
  <si>
    <t>E1063</t>
  </si>
  <si>
    <t>9837395613</t>
  </si>
  <si>
    <t>E1064</t>
  </si>
  <si>
    <t>9123418862</t>
  </si>
  <si>
    <t>E1065</t>
  </si>
  <si>
    <t>9602673754</t>
  </si>
  <si>
    <t>E1066</t>
  </si>
  <si>
    <t>9921198328</t>
  </si>
  <si>
    <t>E1067</t>
  </si>
  <si>
    <t>E1068</t>
  </si>
  <si>
    <t>9340070455</t>
  </si>
  <si>
    <t>E1069</t>
  </si>
  <si>
    <t>9542177781</t>
  </si>
  <si>
    <t>E1070</t>
  </si>
  <si>
    <t>9136611830</t>
  </si>
  <si>
    <t>E1071</t>
  </si>
  <si>
    <t>9315192683</t>
  </si>
  <si>
    <t>E1072</t>
  </si>
  <si>
    <t>9339792468</t>
  </si>
  <si>
    <t>E1073</t>
  </si>
  <si>
    <t>9862204860</t>
  </si>
  <si>
    <t>E1074</t>
  </si>
  <si>
    <t>9663497104</t>
  </si>
  <si>
    <t>E1075</t>
  </si>
  <si>
    <t>E1076</t>
  </si>
  <si>
    <t>E1077</t>
  </si>
  <si>
    <t>9923203499</t>
  </si>
  <si>
    <t>E1078</t>
  </si>
  <si>
    <t>9392395645</t>
  </si>
  <si>
    <t>E1079</t>
  </si>
  <si>
    <t>9126045435</t>
  </si>
  <si>
    <t>E1080</t>
  </si>
  <si>
    <t>E1081</t>
  </si>
  <si>
    <t>9365544423</t>
  </si>
  <si>
    <t>E1082</t>
  </si>
  <si>
    <t>9384424887</t>
  </si>
  <si>
    <t>E1083</t>
  </si>
  <si>
    <t>9903134235</t>
  </si>
  <si>
    <t>E1084</t>
  </si>
  <si>
    <t>9264628456</t>
  </si>
  <si>
    <t>E1085</t>
  </si>
  <si>
    <t>E1086</t>
  </si>
  <si>
    <t>E1087</t>
  </si>
  <si>
    <t>9106807008</t>
  </si>
  <si>
    <t>E1088</t>
  </si>
  <si>
    <t>9318443959</t>
  </si>
  <si>
    <t>E1089</t>
  </si>
  <si>
    <t>9538269252</t>
  </si>
  <si>
    <t>E1090</t>
  </si>
  <si>
    <t>9817056539</t>
  </si>
  <si>
    <t>E1091</t>
  </si>
  <si>
    <t>9490607273</t>
  </si>
  <si>
    <t>E1092</t>
  </si>
  <si>
    <t>9491622763</t>
  </si>
  <si>
    <t>E1093</t>
  </si>
  <si>
    <t>9641663093</t>
  </si>
  <si>
    <t>E1094</t>
  </si>
  <si>
    <t>9964050516</t>
  </si>
  <si>
    <t>E1095</t>
  </si>
  <si>
    <t>9766088191</t>
  </si>
  <si>
    <t>E1096</t>
  </si>
  <si>
    <t>9268017943</t>
  </si>
  <si>
    <t>E1097</t>
  </si>
  <si>
    <t>9589340112</t>
  </si>
  <si>
    <t>E1098</t>
  </si>
  <si>
    <t>E1099</t>
  </si>
  <si>
    <t>9172070263</t>
  </si>
  <si>
    <t>E1100</t>
  </si>
  <si>
    <t>9436860564</t>
  </si>
  <si>
    <t>Location</t>
  </si>
  <si>
    <t>Department Head</t>
  </si>
  <si>
    <t>Annual Budget</t>
  </si>
  <si>
    <t>Anil Kumar</t>
  </si>
  <si>
    <t>Sunita Rao</t>
  </si>
  <si>
    <t>David Miller</t>
  </si>
  <si>
    <t>Rekha Iyer</t>
  </si>
  <si>
    <t>Suresh Menon</t>
  </si>
  <si>
    <t>Years of Service</t>
  </si>
  <si>
    <t>no phone</t>
  </si>
  <si>
    <t>full name</t>
  </si>
  <si>
    <t>salary and bonus</t>
  </si>
  <si>
    <t>EXPERIENCE</t>
  </si>
  <si>
    <t>RATING</t>
  </si>
  <si>
    <t>No Phone</t>
  </si>
  <si>
    <t>Full Name</t>
  </si>
  <si>
    <t>Total Pay</t>
  </si>
  <si>
    <t>Grade</t>
  </si>
  <si>
    <t>Tenure Band</t>
  </si>
  <si>
    <t>Hire Year</t>
  </si>
  <si>
    <t>Row Labels</t>
  </si>
  <si>
    <t>Grand Total</t>
  </si>
  <si>
    <t>Count of Emp ID</t>
  </si>
  <si>
    <t>Headcount</t>
  </si>
  <si>
    <t>TOTAL EMPLOYEE</t>
  </si>
  <si>
    <t>ACTIVE</t>
  </si>
  <si>
    <t>RESIGNED</t>
  </si>
  <si>
    <t>ON LEAVE</t>
  </si>
  <si>
    <t>ATTRITION</t>
  </si>
  <si>
    <t>AVG SAL</t>
  </si>
  <si>
    <t>TOTAL PAYROLL</t>
  </si>
  <si>
    <t>TOTAL BONUS</t>
  </si>
  <si>
    <t>)</t>
  </si>
  <si>
    <t>Average age of service</t>
  </si>
  <si>
    <t>Sum of Salary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</si>
  <si>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</si>
  <si>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</si>
  <si>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</si>
  <si>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</si>
  <si>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</si>
  <si>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</si>
  <si>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</si>
  <si>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</si>
  <si>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</si>
  <si>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</si>
  <si>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Average of Salary</t>
  </si>
  <si>
    <t>HR REPORT SUMMARY</t>
  </si>
  <si>
    <t>Executive summary</t>
  </si>
  <si>
    <t>The 100-person workforce is mostly active, with 9% recorded attrition. Engineering has the highest average salary and department attrition; HR has the most Poor performance ratings.</t>
  </si>
  <si>
    <t>Workforce</t>
  </si>
  <si>
    <t>Total employees</t>
  </si>
  <si>
    <t>On leave</t>
  </si>
  <si>
    <t>Overall attrition rate</t>
  </si>
  <si>
    <t>Pay (annual salary assumption)</t>
  </si>
  <si>
    <t>Total salary payroll</t>
  </si>
  <si>
    <t>Average salary</t>
  </si>
  <si>
    <t>Highest department average salary</t>
  </si>
  <si>
    <t>Engineering — 97,563</t>
  </si>
  <si>
    <t>Lowest department average salary</t>
  </si>
  <si>
    <t>HR — 57,625</t>
  </si>
  <si>
    <t>Average salary by gender</t>
  </si>
  <si>
    <t>Women: 71,222 | Men: 69,576</t>
  </si>
  <si>
    <t>Performance</t>
  </si>
  <si>
    <t>Good / Excellent</t>
  </si>
  <si>
    <t>40 / 19</t>
  </si>
  <si>
    <t>Average / Poor</t>
  </si>
  <si>
    <t>29 / 12</t>
  </si>
  <si>
    <t>Most Poor ratings</t>
  </si>
  <si>
    <t>HR (5), followed by Marketing (4)</t>
  </si>
  <si>
    <t>Attrition highlights</t>
  </si>
  <si>
    <t>Highest department attrition</t>
  </si>
  <si>
    <t>Engineering — 18.8% (3 of 16)</t>
  </si>
  <si>
    <t>Next highest</t>
  </si>
  <si>
    <t>Finance — 15.8%; HR — 12.5%</t>
  </si>
  <si>
    <t>No resignations recorded</t>
  </si>
  <si>
    <t>Sales and Marketing</t>
  </si>
  <si>
    <t>Note: Gender salary averages are descriptive only; no adjustment for role, tenure, or other factors.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</si>
</sst>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6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222B45"/>
        <bgColor indexed="64"/>
      </patternFill>
    </fill>
    <fill>
      <patternFill patternType="solid">
        <fgColor rgb="FFE2E3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thin">
        <color rgb="FF80808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4" borderId="0" xfId="0" applyFill="1"/>
    <xf numFmtId="0" fontId="4" fillId="5" borderId="2" xfId="0" applyFont="1" applyFill="1" applyBorder="1" applyAlignment="1">
      <alignment horizontal="left"/>
    </xf>
    <xf numFmtId="0" fontId="5" fillId="6" borderId="0" xfId="0" applyFont="1" applyFill="1" applyAlignment="1">
      <alignment horizontal="left"/>
    </xf>
    <xf numFmtId="0" fontId="6" fillId="7" borderId="3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9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/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 OF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54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F-4B41-9044-661B9DA0C1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7689215"/>
        <c:axId val="1247308911"/>
      </c:barChart>
      <c:catAx>
        <c:axId val="107768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08911"/>
        <c:crosses val="autoZero"/>
        <c:auto val="1"/>
        <c:lblAlgn val="ctr"/>
        <c:lblOffset val="100"/>
        <c:noMultiLvlLbl val="0"/>
      </c:catAx>
      <c:valAx>
        <c:axId val="12473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68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(1).xlsx]Sheet5!PivotTable4</c:name>
    <c:fmtId val="1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Sheet5!$H$5:$H$10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Sheet5!$I$5:$I$10</c:f>
              <c:numCache>
                <c:formatCode>General</c:formatCode>
                <c:ptCount val="5"/>
                <c:pt idx="0">
                  <c:v>1561000</c:v>
                </c:pt>
                <c:pt idx="1">
                  <c:v>1428500</c:v>
                </c:pt>
                <c:pt idx="2">
                  <c:v>1383000</c:v>
                </c:pt>
                <c:pt idx="3">
                  <c:v>1712000</c:v>
                </c:pt>
                <c:pt idx="4">
                  <c:v>962000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C-49C7-B01C-00F8302D8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8444335"/>
        <c:axId val="1247401551"/>
      </c:barChart>
      <c:catAx>
        <c:axId val="146844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01551"/>
        <c:crosses val="autoZero"/>
        <c:auto val="1"/>
        <c:lblAlgn val="ctr"/>
        <c:lblOffset val="100"/>
        <c:noMultiLvlLbl val="0"/>
      </c:catAx>
      <c:valAx>
        <c:axId val="12474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44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of employee in job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Sheet5!$C$9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Sheet5!$B$10:$B$26</c:f>
              <c:strCache>
                <c:ptCount val="16"/>
                <c:pt idx="0">
                  <c:v>Account Manager</c:v>
                </c:pt>
                <c:pt idx="1">
                  <c:v>Accountant</c:v>
                </c:pt>
                <c:pt idx="2">
                  <c:v>Content Writer</c:v>
                </c:pt>
                <c:pt idx="3">
                  <c:v>Developer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Executive</c:v>
                </c:pt>
                <c:pt idx="7">
                  <c:v>HR Manager</c:v>
                </c:pt>
                <c:pt idx="8">
                  <c:v>Marketing Analyst</c:v>
                </c:pt>
                <c:pt idx="9">
                  <c:v>QA Engineer</c:v>
                </c:pt>
                <c:pt idx="10">
                  <c:v>Recruiter</c:v>
                </c:pt>
                <c:pt idx="11">
                  <c:v>Sales Executive</c:v>
                </c:pt>
                <c:pt idx="12">
                  <c:v>Sales Lead</c:v>
                </c:pt>
                <c:pt idx="13">
                  <c:v>Senior Developer</c:v>
                </c:pt>
                <c:pt idx="14">
                  <c:v>SEO Specialist</c:v>
                </c:pt>
                <c:pt idx="15">
                  <c:v>Tech Lead</c:v>
                </c:pt>
              </c:strCache>
            </c:strRef>
          </c:cat>
          <c:val>
            <c:numRef>
              <c:f>Sheet5!$C$10:$C$26</c:f>
              <c:numCache>
                <c:formatCode>General</c:formatCode>
                <c:ptCount val="16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4-459F-A3A9-476D6D979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70128191"/>
        <c:axId val="1247391471"/>
      </c:barChart>
      <c:catAx>
        <c:axId val="147012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91471"/>
        <c:crosses val="autoZero"/>
        <c:auto val="1"/>
        <c:lblAlgn val="ctr"/>
        <c:lblOffset val="100"/>
        <c:noMultiLvlLbl val="0"/>
      </c:catAx>
      <c:valAx>
        <c:axId val="124739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2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 of employee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Sheet5!$G$13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Sheet5!$F$14:$F$24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Sheet5!$G$14:$G$24</c:f>
              <c:numCache>
                <c:formatCode>General</c:formatCode>
                <c:ptCount val="10"/>
                <c:pt idx="0">
                  <c:v>16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13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9-45F5-80F0-A5C63126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071311"/>
        <c:axId val="1247315151"/>
      </c:lineChart>
      <c:catAx>
        <c:axId val="154907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15151"/>
        <c:crosses val="autoZero"/>
        <c:auto val="1"/>
        <c:lblAlgn val="ctr"/>
        <c:lblOffset val="100"/>
        <c:noMultiLvlLbl val="0"/>
      </c:catAx>
      <c:valAx>
        <c:axId val="12473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7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performance rating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B30-4B12-9FE4-0CDC2A691C5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B30-4B12-9FE4-0CDC2A691C5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B30-4B12-9FE4-0CDC2A691C5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B30-4B12-9FE4-0CDC2A691C5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B30-4B12-9FE4-0CDC2A691C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Sheet5!$A$31:$A$35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Sheet5!$B$31:$B$35</c:f>
              <c:numCache>
                <c:formatCode>General</c:formatCode>
                <c:ptCount val="4"/>
                <c:pt idx="0">
                  <c:v>19</c:v>
                </c:pt>
                <c:pt idx="1">
                  <c:v>40</c:v>
                </c:pt>
                <c:pt idx="2">
                  <c:v>29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30-4B12-9FE4-0CDC2A691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44630358705162"/>
          <c:y val="0.28590077282006415"/>
          <c:w val="0.76024059492563434"/>
          <c:h val="0.4179596821230679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Sheet5!$E$30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Sheet5!$D$31:$D$36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Sheet5!$E$31:$E$36</c:f>
              <c:numCache>
                <c:formatCode>General</c:formatCode>
                <c:ptCount val="5"/>
                <c:pt idx="0">
                  <c:v>97562.5</c:v>
                </c:pt>
                <c:pt idx="1">
                  <c:v>75184.210526315786</c:v>
                </c:pt>
                <c:pt idx="2">
                  <c:v>57625</c:v>
                </c:pt>
                <c:pt idx="3">
                  <c:v>65846.153846153844</c:v>
                </c:pt>
                <c:pt idx="4">
                  <c:v>64133.333333333336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8-45AB-97DC-EB6441F9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557575711"/>
        <c:axId val="1247417871"/>
        <c:axId val="0"/>
      </c:bar3DChart>
      <c:catAx>
        <c:axId val="155757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17871"/>
        <c:crosses val="autoZero"/>
        <c:auto val="1"/>
        <c:lblAlgn val="ctr"/>
        <c:lblOffset val="100"/>
        <c:noMultiLvlLbl val="0"/>
      </c:catAx>
      <c:valAx>
        <c:axId val="1247417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57575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status of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Sheet5!$H$30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AE8-4571-BE3E-6E5C1EBB7D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AE8-4571-BE3E-6E5C1EBB7D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AE8-4571-BE3E-6E5C1EBB7D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921-4588-A8D5-5F35F54C2BD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921-4588-A8D5-5F35F54C2BD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921-4588-A8D5-5F35F54C2B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Sheet5!$G$31:$G$37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Sheet5!$H$31:$H$37</c:f>
              <c:numCache>
                <c:formatCode>General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16</c:v>
                </c:pt>
                <c:pt idx="4">
                  <c:v>19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E8-4571-BE3E-6E5C1EBB7D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(1).xlsx]Sheet5!PivotTable9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of employee in each city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Sheet5!$H$30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Sheet5!$G$31:$G$37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Sheet5!$H$31:$H$37</c:f>
              <c:numCache>
                <c:formatCode>General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16</c:v>
                </c:pt>
                <c:pt idx="4">
                  <c:v>19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1-4B47-B8CC-F53FE792CD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594169855"/>
        <c:axId val="1247288271"/>
        <c:axId val="0"/>
      </c:bar3DChart>
      <c:catAx>
        <c:axId val="159416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88271"/>
        <c:crosses val="autoZero"/>
        <c:auto val="1"/>
        <c:lblAlgn val="ctr"/>
        <c:lblOffset val="100"/>
        <c:noMultiLvlLbl val="0"/>
      </c:catAx>
      <c:valAx>
        <c:axId val="12472882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941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[hr_practice_data (1).xlsx]Sheet5!PivotTable10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maximum salary in each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Sheet5!$D$43:$D$48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Sheet5!$E$43:$E$48</c:f>
              <c:numCache>
                <c:formatCode>General</c:formatCode>
                <c:ptCount val="5"/>
                <c:pt idx="0">
                  <c:v>1561000</c:v>
                </c:pt>
                <c:pt idx="1">
                  <c:v>1428500</c:v>
                </c:pt>
                <c:pt idx="2">
                  <c:v>1383000</c:v>
                </c:pt>
                <c:pt idx="3">
                  <c:v>1712000</c:v>
                </c:pt>
                <c:pt idx="4">
                  <c:v>962000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A-49EC-88F7-C974B579BC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4246415"/>
        <c:axId val="1247433711"/>
      </c:barChart>
      <c:catAx>
        <c:axId val="15942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33711"/>
        <c:crosses val="autoZero"/>
        <c:auto val="1"/>
        <c:lblAlgn val="ctr"/>
        <c:lblOffset val="100"/>
        <c:noMultiLvlLbl val="0"/>
      </c:catAx>
      <c:valAx>
        <c:axId val="124743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89829</xdr:colOff>
      <xdr:row>0</xdr:row>
      <xdr:rowOff>91688</xdr:rowOff>
    </xdr:from>
    <xdr:to>
      <xdr:col>13</xdr:col>
      <xdr:colOff>580947</xdr:colOff>
      <xdr:row>3</xdr:row>
      <xdr:rowOff>117088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089C4B-9920-8713-720D-EBF925BE19F1}"/>
            </a:ext>
          </a:extLst>
        </xdr:cNvPr>
        <xdr:cNvSpPr txBox="1"/>
      </xdr:nvSpPr>
      <xdr:spPr>
        <a:xfrm>
          <a:off x="3148670" y="91688"/>
          <a:ext cx="5385265" cy="5829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Arial Black" panose="020B0A04020102020204" pitchFamily="34" charset="0"/>
            </a:rPr>
            <a:t>HR DASHBOARD</a:t>
          </a:r>
        </a:p>
      </xdr:txBody>
    </xdr:sp>
    <xdr:clientData/>
  </xdr:twoCellAnchor>
  <xdr:twoCellAnchor editAs="oneCell">
    <xdr:from>
      <xdr:col>5</xdr:col>
      <xdr:colOff>387195</xdr:colOff>
      <xdr:row>0</xdr:row>
      <xdr:rowOff>102994</xdr:rowOff>
    </xdr:from>
    <xdr:to>
      <xdr:col>6</xdr:col>
      <xdr:colOff>372326</xdr:colOff>
      <xdr:row>3</xdr:row>
      <xdr:rowOff>20444</xdr:rowOff>
    </xdr:to>
    <xdr:pic>
      <xdr:nvPicPr>
        <xdr:cNvPr id="14" name="Graphic 13" descr="Briefcase with solid fill">
          <a:extLst>
            <a:ext uri="{FF2B5EF4-FFF2-40B4-BE49-F238E27FC236}">
              <a16:creationId xmlns:a16="http://schemas.microsoft.com/office/drawing/2014/main" id="{119351FE-D33B-3B14-EFDB-9168BB54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6036" y="102994"/>
          <a:ext cx="596900" cy="475011"/>
        </a:xfrm>
        <a:prstGeom prst="rect">
          <a:avLst/>
        </a:prstGeom>
      </xdr:spPr>
    </xdr:pic>
    <xdr:clientData/>
  </xdr:twoCellAnchor>
  <xdr:twoCellAnchor editAs="oneCell">
    <xdr:from>
      <xdr:col>12</xdr:col>
      <xdr:colOff>423436</xdr:colOff>
      <xdr:row>0</xdr:row>
      <xdr:rowOff>106556</xdr:rowOff>
    </xdr:from>
    <xdr:to>
      <xdr:col>13</xdr:col>
      <xdr:colOff>410737</xdr:colOff>
      <xdr:row>3</xdr:row>
      <xdr:rowOff>24006</xdr:rowOff>
    </xdr:to>
    <xdr:pic>
      <xdr:nvPicPr>
        <xdr:cNvPr id="15" name="Graphic 14" descr="Briefcase with solid fill">
          <a:extLst>
            <a:ext uri="{FF2B5EF4-FFF2-40B4-BE49-F238E27FC236}">
              <a16:creationId xmlns:a16="http://schemas.microsoft.com/office/drawing/2014/main" id="{D0920E61-723C-73B8-E57B-5A2928F4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64656" y="106556"/>
          <a:ext cx="599069" cy="475011"/>
        </a:xfrm>
        <a:prstGeom prst="rect">
          <a:avLst/>
        </a:prstGeom>
      </xdr:spPr>
    </xdr:pic>
    <xdr:clientData/>
  </xdr:twoCellAnchor>
  <xdr:twoCellAnchor>
    <xdr:from>
      <xdr:col>14</xdr:col>
      <xdr:colOff>445737</xdr:colOff>
      <xdr:row>3</xdr:row>
      <xdr:rowOff>155186</xdr:rowOff>
    </xdr:from>
    <xdr:to>
      <xdr:col>17</xdr:col>
      <xdr:colOff>116160</xdr:colOff>
      <xdr:row>7</xdr:row>
      <xdr:rowOff>110736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3C68E77-B4EF-473A-BE8E-0B1A9507FCF3}"/>
            </a:ext>
          </a:extLst>
        </xdr:cNvPr>
        <xdr:cNvGrpSpPr/>
      </xdr:nvGrpSpPr>
      <xdr:grpSpPr>
        <a:xfrm>
          <a:off x="8980137" y="726686"/>
          <a:ext cx="1499223" cy="717550"/>
          <a:chOff x="241300" y="692150"/>
          <a:chExt cx="1631950" cy="69215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16C88789-FC49-AEE7-51F7-95985C0AEE23}"/>
              </a:ext>
            </a:extLst>
          </xdr:cNvPr>
          <xdr:cNvSpPr/>
        </xdr:nvSpPr>
        <xdr:spPr>
          <a:xfrm>
            <a:off x="241300" y="6921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8E006EA-E129-0668-9C33-0C2CA0AFBF93}"/>
              </a:ext>
            </a:extLst>
          </xdr:cNvPr>
          <xdr:cNvSpPr txBox="1"/>
        </xdr:nvSpPr>
        <xdr:spPr>
          <a:xfrm>
            <a:off x="508000" y="745523"/>
            <a:ext cx="1212850" cy="5827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050" b="1">
                <a:solidFill>
                  <a:schemeClr val="accent4">
                    <a:lumMod val="50000"/>
                  </a:schemeClr>
                </a:solidFill>
              </a:rPr>
              <a:t>TOTAL EMPLOYEE</a:t>
            </a:r>
          </a:p>
          <a:p>
            <a:pPr algn="ctr"/>
            <a:r>
              <a:rPr lang="en-IN" sz="1050" b="1">
                <a:solidFill>
                  <a:schemeClr val="accent4">
                    <a:lumMod val="50000"/>
                  </a:schemeClr>
                </a:solidFill>
              </a:rPr>
              <a:t>100</a:t>
            </a:r>
          </a:p>
        </xdr:txBody>
      </xdr:sp>
    </xdr:grpSp>
    <xdr:clientData/>
  </xdr:twoCellAnchor>
  <xdr:twoCellAnchor>
    <xdr:from>
      <xdr:col>0</xdr:col>
      <xdr:colOff>0</xdr:colOff>
      <xdr:row>3</xdr:row>
      <xdr:rowOff>129168</xdr:rowOff>
    </xdr:from>
    <xdr:to>
      <xdr:col>2</xdr:col>
      <xdr:colOff>414917</xdr:colOff>
      <xdr:row>7</xdr:row>
      <xdr:rowOff>84718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3E3A172E-F72F-99F1-ABC7-91CD114788F6}"/>
            </a:ext>
          </a:extLst>
        </xdr:cNvPr>
        <xdr:cNvGrpSpPr/>
      </xdr:nvGrpSpPr>
      <xdr:grpSpPr>
        <a:xfrm>
          <a:off x="0" y="700668"/>
          <a:ext cx="1634117" cy="717550"/>
          <a:chOff x="2120900" y="723900"/>
          <a:chExt cx="1631950" cy="69215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99D2272-3182-8D77-8D5F-A343441B47D8}"/>
              </a:ext>
            </a:extLst>
          </xdr:cNvPr>
          <xdr:cNvSpPr/>
        </xdr:nvSpPr>
        <xdr:spPr>
          <a:xfrm>
            <a:off x="2120900" y="72390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92A925B-6330-746B-66F3-BFCCA062C9E7}"/>
              </a:ext>
            </a:extLst>
          </xdr:cNvPr>
          <xdr:cNvSpPr txBox="1"/>
        </xdr:nvSpPr>
        <xdr:spPr>
          <a:xfrm>
            <a:off x="2254250" y="825500"/>
            <a:ext cx="1365250" cy="463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100" b="1"/>
              <a:t>ACTIVE EMPLOYEE</a:t>
            </a:r>
          </a:p>
          <a:p>
            <a:pPr algn="ctr"/>
            <a:r>
              <a:rPr lang="en-IN" sz="1100" b="1"/>
              <a:t>90</a:t>
            </a:r>
          </a:p>
        </xdr:txBody>
      </xdr:sp>
    </xdr:grpSp>
    <xdr:clientData/>
  </xdr:twoCellAnchor>
  <xdr:twoCellAnchor>
    <xdr:from>
      <xdr:col>2</xdr:col>
      <xdr:colOff>471139</xdr:colOff>
      <xdr:row>3</xdr:row>
      <xdr:rowOff>149612</xdr:rowOff>
    </xdr:from>
    <xdr:to>
      <xdr:col>5</xdr:col>
      <xdr:colOff>274290</xdr:colOff>
      <xdr:row>7</xdr:row>
      <xdr:rowOff>105162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A1ED710-93B3-8E9F-4256-9AD2F12806BE}"/>
            </a:ext>
          </a:extLst>
        </xdr:cNvPr>
        <xdr:cNvGrpSpPr/>
      </xdr:nvGrpSpPr>
      <xdr:grpSpPr>
        <a:xfrm>
          <a:off x="1690339" y="721112"/>
          <a:ext cx="1631951" cy="717550"/>
          <a:chOff x="3981450" y="717550"/>
          <a:chExt cx="1631950" cy="69215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185B7EF-3EE7-5E7B-907C-BA4A33B5A210}"/>
              </a:ext>
            </a:extLst>
          </xdr:cNvPr>
          <xdr:cNvSpPr/>
        </xdr:nvSpPr>
        <xdr:spPr>
          <a:xfrm>
            <a:off x="3981450" y="7175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B997134A-3B10-E1AA-EEBF-06B5EA721D98}"/>
              </a:ext>
            </a:extLst>
          </xdr:cNvPr>
          <xdr:cNvSpPr txBox="1"/>
        </xdr:nvSpPr>
        <xdr:spPr>
          <a:xfrm>
            <a:off x="4108450" y="812800"/>
            <a:ext cx="1390650" cy="463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000" b="1"/>
              <a:t>RESIGNED</a:t>
            </a:r>
            <a:r>
              <a:rPr lang="en-IN" sz="1000" b="1" baseline="0"/>
              <a:t> EMPLOYEE</a:t>
            </a:r>
          </a:p>
          <a:p>
            <a:pPr algn="ctr"/>
            <a:r>
              <a:rPr lang="en-IN" sz="1000" b="1" baseline="0"/>
              <a:t>9</a:t>
            </a:r>
            <a:endParaRPr lang="en-IN" sz="1000" b="1"/>
          </a:p>
        </xdr:txBody>
      </xdr:sp>
    </xdr:grpSp>
    <xdr:clientData/>
  </xdr:twoCellAnchor>
  <xdr:twoCellAnchor>
    <xdr:from>
      <xdr:col>5</xdr:col>
      <xdr:colOff>324471</xdr:colOff>
      <xdr:row>3</xdr:row>
      <xdr:rowOff>140473</xdr:rowOff>
    </xdr:from>
    <xdr:to>
      <xdr:col>7</xdr:col>
      <xdr:colOff>224574</xdr:colOff>
      <xdr:row>7</xdr:row>
      <xdr:rowOff>96023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7A0D9B3-0C6D-768A-3E4F-DAF5FC81D8A5}"/>
            </a:ext>
          </a:extLst>
        </xdr:cNvPr>
        <xdr:cNvGrpSpPr/>
      </xdr:nvGrpSpPr>
      <xdr:grpSpPr>
        <a:xfrm>
          <a:off x="3372471" y="711973"/>
          <a:ext cx="1119303" cy="717550"/>
          <a:chOff x="5880100" y="717550"/>
          <a:chExt cx="1631950" cy="69215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A5F8ED95-6649-03FD-ED5E-3A57607DF317}"/>
              </a:ext>
            </a:extLst>
          </xdr:cNvPr>
          <xdr:cNvSpPr/>
        </xdr:nvSpPr>
        <xdr:spPr>
          <a:xfrm>
            <a:off x="5880100" y="7175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F3F4197C-D546-553C-74C3-F12D1871258D}"/>
              </a:ext>
            </a:extLst>
          </xdr:cNvPr>
          <xdr:cNvSpPr txBox="1"/>
        </xdr:nvSpPr>
        <xdr:spPr>
          <a:xfrm>
            <a:off x="6026150" y="793750"/>
            <a:ext cx="1163381" cy="5143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en-IN" sz="1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ON LEAVE</a:t>
            </a:r>
          </a:p>
          <a:p>
            <a:pPr marL="0" indent="0" algn="ctr"/>
            <a:r>
              <a:rPr lang="en-IN" sz="1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1</a:t>
            </a:r>
          </a:p>
        </xdr:txBody>
      </xdr:sp>
    </xdr:grpSp>
    <xdr:clientData/>
  </xdr:twoCellAnchor>
  <xdr:twoCellAnchor>
    <xdr:from>
      <xdr:col>7</xdr:col>
      <xdr:colOff>264378</xdr:colOff>
      <xdr:row>3</xdr:row>
      <xdr:rowOff>149612</xdr:rowOff>
    </xdr:from>
    <xdr:to>
      <xdr:col>9</xdr:col>
      <xdr:colOff>154879</xdr:colOff>
      <xdr:row>7</xdr:row>
      <xdr:rowOff>105162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33027E3-1EFA-0FA5-DE57-8B1680858DA8}"/>
            </a:ext>
          </a:extLst>
        </xdr:cNvPr>
        <xdr:cNvGrpSpPr/>
      </xdr:nvGrpSpPr>
      <xdr:grpSpPr>
        <a:xfrm>
          <a:off x="4531578" y="721112"/>
          <a:ext cx="1109701" cy="717550"/>
          <a:chOff x="6877050" y="717550"/>
          <a:chExt cx="1631950" cy="69215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2954B02F-EDE1-F9CE-3EC6-9759B568EF5D}"/>
              </a:ext>
            </a:extLst>
          </xdr:cNvPr>
          <xdr:cNvSpPr/>
        </xdr:nvSpPr>
        <xdr:spPr>
          <a:xfrm>
            <a:off x="6877050" y="7175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6D6C93B-F7BD-E499-02DC-F891A4E750B9}"/>
              </a:ext>
            </a:extLst>
          </xdr:cNvPr>
          <xdr:cNvSpPr txBox="1"/>
        </xdr:nvSpPr>
        <xdr:spPr>
          <a:xfrm>
            <a:off x="7061200" y="819150"/>
            <a:ext cx="1282700" cy="501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100" b="1"/>
              <a:t>ATTRITION</a:t>
            </a:r>
          </a:p>
          <a:p>
            <a:pPr algn="ctr"/>
            <a:r>
              <a:rPr lang="en-IN" sz="1100" b="1"/>
              <a:t>9%</a:t>
            </a:r>
          </a:p>
        </xdr:txBody>
      </xdr:sp>
    </xdr:grpSp>
    <xdr:clientData/>
  </xdr:twoCellAnchor>
  <xdr:twoCellAnchor>
    <xdr:from>
      <xdr:col>12</xdr:col>
      <xdr:colOff>26792</xdr:colOff>
      <xdr:row>3</xdr:row>
      <xdr:rowOff>161537</xdr:rowOff>
    </xdr:from>
    <xdr:to>
      <xdr:col>14</xdr:col>
      <xdr:colOff>439543</xdr:colOff>
      <xdr:row>7</xdr:row>
      <xdr:rowOff>117087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B8335F6C-DB03-2E9F-89BA-8CF71FCCBE7E}"/>
            </a:ext>
          </a:extLst>
        </xdr:cNvPr>
        <xdr:cNvGrpSpPr/>
      </xdr:nvGrpSpPr>
      <xdr:grpSpPr>
        <a:xfrm>
          <a:off x="7341992" y="733037"/>
          <a:ext cx="1631951" cy="717550"/>
          <a:chOff x="9658350" y="692150"/>
          <a:chExt cx="1631950" cy="69215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3B1E9F7F-5544-DE33-A507-74DF748E9E8C}"/>
              </a:ext>
            </a:extLst>
          </xdr:cNvPr>
          <xdr:cNvSpPr/>
        </xdr:nvSpPr>
        <xdr:spPr>
          <a:xfrm>
            <a:off x="9658350" y="6921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B58C821-D2A0-5829-3538-C26FACD65869}"/>
              </a:ext>
            </a:extLst>
          </xdr:cNvPr>
          <xdr:cNvSpPr txBox="1"/>
        </xdr:nvSpPr>
        <xdr:spPr>
          <a:xfrm>
            <a:off x="9848850" y="844550"/>
            <a:ext cx="1346200" cy="4445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100" b="1"/>
              <a:t>TOTAL PAYROLL</a:t>
            </a:r>
          </a:p>
          <a:p>
            <a:pPr algn="ctr"/>
            <a:r>
              <a:rPr lang="en-IN" sz="1100" b="1"/>
              <a:t>63,07,500</a:t>
            </a:r>
          </a:p>
        </xdr:txBody>
      </xdr:sp>
    </xdr:grpSp>
    <xdr:clientData/>
  </xdr:twoCellAnchor>
  <xdr:twoCellAnchor>
    <xdr:from>
      <xdr:col>9</xdr:col>
      <xdr:colOff>194061</xdr:colOff>
      <xdr:row>3</xdr:row>
      <xdr:rowOff>148838</xdr:rowOff>
    </xdr:from>
    <xdr:to>
      <xdr:col>11</xdr:col>
      <xdr:colOff>608980</xdr:colOff>
      <xdr:row>7</xdr:row>
      <xdr:rowOff>104388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BF50D6BC-479C-F8AE-F1C5-7A11A2B34FBA}"/>
            </a:ext>
          </a:extLst>
        </xdr:cNvPr>
        <xdr:cNvGrpSpPr/>
      </xdr:nvGrpSpPr>
      <xdr:grpSpPr>
        <a:xfrm>
          <a:off x="5680461" y="720338"/>
          <a:ext cx="1634119" cy="717550"/>
          <a:chOff x="5880100" y="717550"/>
          <a:chExt cx="1631950" cy="692150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4B6B19C0-A556-FB36-1FCA-32D7B2C2C044}"/>
              </a:ext>
            </a:extLst>
          </xdr:cNvPr>
          <xdr:cNvSpPr/>
        </xdr:nvSpPr>
        <xdr:spPr>
          <a:xfrm>
            <a:off x="5880100" y="717550"/>
            <a:ext cx="1631950" cy="69215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75ABBE73-76DC-237F-FA90-B530C0DF544C}"/>
              </a:ext>
            </a:extLst>
          </xdr:cNvPr>
          <xdr:cNvSpPr txBox="1"/>
        </xdr:nvSpPr>
        <xdr:spPr>
          <a:xfrm>
            <a:off x="6026150" y="793750"/>
            <a:ext cx="1377950" cy="5892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en-IN" sz="1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</a:t>
            </a:r>
            <a:r>
              <a:rPr lang="en-IN" sz="10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AGE OF SERVICE</a:t>
            </a:r>
          </a:p>
          <a:p>
            <a:pPr marL="0" indent="0" algn="ctr"/>
            <a:r>
              <a:rPr lang="en-IN" sz="10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6.61</a:t>
            </a:r>
            <a:endParaRPr lang="en-IN" sz="10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140474</xdr:colOff>
      <xdr:row>3</xdr:row>
      <xdr:rowOff>134124</xdr:rowOff>
    </xdr:from>
    <xdr:to>
      <xdr:col>19</xdr:col>
      <xdr:colOff>553224</xdr:colOff>
      <xdr:row>7</xdr:row>
      <xdr:rowOff>89674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A3AFE04-1B66-F87D-A514-B23034197EDA}"/>
            </a:ext>
          </a:extLst>
        </xdr:cNvPr>
        <xdr:cNvGrpSpPr/>
      </xdr:nvGrpSpPr>
      <xdr:grpSpPr>
        <a:xfrm>
          <a:off x="10503674" y="705624"/>
          <a:ext cx="1631950" cy="717550"/>
          <a:chOff x="4554498" y="1845527"/>
          <a:chExt cx="1636287" cy="69896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A1EF9A93-CDA3-E34B-D141-018062F693EB}"/>
              </a:ext>
            </a:extLst>
          </xdr:cNvPr>
          <xdr:cNvSpPr/>
        </xdr:nvSpPr>
        <xdr:spPr>
          <a:xfrm>
            <a:off x="4554498" y="1845527"/>
            <a:ext cx="1636287" cy="698965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BC1CCA7-A777-B217-C52F-B8BB2182745B}"/>
              </a:ext>
            </a:extLst>
          </xdr:cNvPr>
          <xdr:cNvSpPr txBox="1"/>
        </xdr:nvSpPr>
        <xdr:spPr>
          <a:xfrm>
            <a:off x="4708162" y="1963613"/>
            <a:ext cx="1286109" cy="50658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100" b="1"/>
              <a:t>AVERAGE</a:t>
            </a:r>
            <a:r>
              <a:rPr lang="en-IN" sz="1100" b="1" baseline="0"/>
              <a:t> SALARY</a:t>
            </a:r>
          </a:p>
          <a:p>
            <a:pPr algn="ctr"/>
            <a:r>
              <a:rPr lang="en-IN" sz="1100" b="1" baseline="0"/>
              <a:t>70,394</a:t>
            </a:r>
            <a:endParaRPr lang="en-IN" sz="1100" b="1"/>
          </a:p>
        </xdr:txBody>
      </xdr:sp>
    </xdr:grpSp>
    <xdr:clientData/>
  </xdr:twoCellAnchor>
  <xdr:twoCellAnchor>
    <xdr:from>
      <xdr:col>0</xdr:col>
      <xdr:colOff>61951</xdr:colOff>
      <xdr:row>7</xdr:row>
      <xdr:rowOff>170364</xdr:rowOff>
    </xdr:from>
    <xdr:to>
      <xdr:col>6</xdr:col>
      <xdr:colOff>38719</xdr:colOff>
      <xdr:row>21</xdr:row>
      <xdr:rowOff>30975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438DF2B-786A-4A72-9B79-123F9F1B0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232317</xdr:colOff>
      <xdr:row>8</xdr:row>
      <xdr:rowOff>1</xdr:rowOff>
    </xdr:from>
    <xdr:to>
      <xdr:col>12</xdr:col>
      <xdr:colOff>549817</xdr:colOff>
      <xdr:row>21</xdr:row>
      <xdr:rowOff>17347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092D24F-D6DB-4340-871C-EFCD7696E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7744</xdr:colOff>
      <xdr:row>8</xdr:row>
      <xdr:rowOff>7744</xdr:rowOff>
    </xdr:from>
    <xdr:to>
      <xdr:col>19</xdr:col>
      <xdr:colOff>379451</xdr:colOff>
      <xdr:row>21</xdr:row>
      <xdr:rowOff>46463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E4EFF1A-FE93-4B1A-81D2-1C259C18C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6</xdr:col>
      <xdr:colOff>38719</xdr:colOff>
      <xdr:row>36</xdr:row>
      <xdr:rowOff>141248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67691A5-B1E7-49BA-824E-4FD2458EF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229913</xdr:colOff>
      <xdr:row>22</xdr:row>
      <xdr:rowOff>32845</xdr:rowOff>
    </xdr:from>
    <xdr:to>
      <xdr:col>12</xdr:col>
      <xdr:colOff>569311</xdr:colOff>
      <xdr:row>36</xdr:row>
      <xdr:rowOff>170355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F098A4E-7165-4A2D-923E-1515537E0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98534</xdr:colOff>
      <xdr:row>22</xdr:row>
      <xdr:rowOff>54742</xdr:rowOff>
    </xdr:from>
    <xdr:to>
      <xdr:col>19</xdr:col>
      <xdr:colOff>372241</xdr:colOff>
      <xdr:row>37</xdr:row>
      <xdr:rowOff>6131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B85F472-A38E-4C91-AC85-355358984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38</xdr:row>
      <xdr:rowOff>21897</xdr:rowOff>
    </xdr:from>
    <xdr:to>
      <xdr:col>6</xdr:col>
      <xdr:colOff>65689</xdr:colOff>
      <xdr:row>52</xdr:row>
      <xdr:rowOff>159407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EFAA03E-C4EC-45A8-9E1C-7754B169B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262759</xdr:colOff>
      <xdr:row>38</xdr:row>
      <xdr:rowOff>43793</xdr:rowOff>
    </xdr:from>
    <xdr:to>
      <xdr:col>13</xdr:col>
      <xdr:colOff>0</xdr:colOff>
      <xdr:row>52</xdr:row>
      <xdr:rowOff>181303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6AE0F83-C453-487C-A5C5-C3840F8D6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153276</xdr:colOff>
      <xdr:row>38</xdr:row>
      <xdr:rowOff>21897</xdr:rowOff>
    </xdr:from>
    <xdr:to>
      <xdr:col>19</xdr:col>
      <xdr:colOff>383189</xdr:colOff>
      <xdr:row>52</xdr:row>
      <xdr:rowOff>159407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570E433-9045-4200-82C8-3FAC4953C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2.789414004626" createdVersion="8" refreshedVersion="8" minRefreshableVersion="3" recordCount="100" xr:uid="{545E19D8-8294-49E5-B902-DEF01FDE53F2}">
  <cacheSource type="worksheet">
    <worksheetSource ref="A1:U101" sheet="Data_Clean"/>
  </cacheSource>
  <cacheFields count="21">
    <cacheField name="Emp ID" numFmtId="0">
      <sharedItems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Department" numFmtId="0">
      <sharedItems count="5">
        <s v="HR"/>
        <s v="Engineering"/>
        <s v="Sales"/>
        <s v="Finance"/>
        <s v="Marketing"/>
      </sharedItems>
    </cacheField>
    <cacheField name="Job Title" numFmtId="0">
      <sharedItems/>
    </cacheField>
    <cacheField name="Hire Date" numFmtId="164">
      <sharedItems containsSemiMixedTypes="0" containsNonDate="0" containsDate="1" containsString="0" minDate="2015-01-15T00:00:00" maxDate="2024-10-20T00:00:00"/>
    </cacheField>
    <cacheField name="Salary" numFmtId="3">
      <sharedItems containsSemiMixedTypes="0" containsString="0" containsNumber="1" containsInteger="1" minValue="35000" maxValue="146500"/>
    </cacheField>
    <cacheField name="Bonus" numFmtId="3">
      <sharedItems containsSemiMixedTypes="0" containsString="0" containsNumber="1" containsInteger="1" minValue="0" maxValue="12600"/>
    </cacheField>
    <cacheField name="Performance Rating" numFmtId="0">
      <sharedItems/>
    </cacheField>
    <cacheField name="City" numFmtId="0">
      <sharedItems/>
    </cacheField>
    <cacheField name="Status" numFmtId="0">
      <sharedItems/>
    </cacheField>
    <cacheField name="Phone" numFmtId="0">
      <sharedItems containsMixedTypes="1" containsNumber="1" containsInteger="1" minValue="9106807008" maxValue="9971692124"/>
    </cacheField>
    <cacheField name="Full Name" numFmtId="0">
      <sharedItems/>
    </cacheField>
    <cacheField name="Total Pay" numFmtId="3">
      <sharedItems containsSemiMixedTypes="0" containsString="0" containsNumber="1" containsInteger="1" minValue="36800" maxValue="153800"/>
    </cacheField>
    <cacheField name="Years of Service" numFmtId="0">
      <sharedItems containsSemiMixedTypes="0" containsString="0" containsNumber="1" containsInteger="1" minValue="2" maxValue="11"/>
    </cacheField>
    <cacheField name="Grade" numFmtId="0">
      <sharedItems/>
    </cacheField>
    <cacheField name="Tenure Band" numFmtId="0">
      <sharedItems/>
    </cacheField>
    <cacheField name="Department Head" numFmtId="0">
      <sharedItems/>
    </cacheField>
    <cacheField name="Annual Budget" numFmtId="0">
      <sharedItems containsSemiMixedTypes="0" containsString="0" containsNumber="1" containsInteger="1" minValue="5000000" maxValue="15000000"/>
    </cacheField>
    <cacheField name="Hire Year" numFmtId="0">
      <sharedItems containsSemiMixedTypes="0" containsString="0" containsNumber="1" containsInteger="1" minValue="2015" maxValue="202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2.807919444444" createdVersion="8" refreshedVersion="8" minRefreshableVersion="3" recordCount="101" xr:uid="{5A2ECDEB-B922-48BF-99CE-3008BEED3BCF}">
  <cacheSource type="worksheet">
    <worksheetSource name="Table2"/>
  </cacheSource>
  <cacheFields count="20">
    <cacheField name="Emp ID" numFmtId="0">
      <sharedItems containsBlank="1" count="101"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  <s v="E1050"/>
        <s v="E1051"/>
        <s v="E1052"/>
        <s v="E1053"/>
        <s v="E1054"/>
        <s v="E1055"/>
        <s v="E1056"/>
        <s v="E1057"/>
        <s v="E1058"/>
        <s v="E1059"/>
        <s v="E1060"/>
        <s v="E1061"/>
        <s v="E1062"/>
        <s v="E1063"/>
        <s v="E1064"/>
        <s v="E1065"/>
        <s v="E1066"/>
        <s v="E1067"/>
        <s v="E1068"/>
        <s v="E1069"/>
        <s v="E1070"/>
        <s v="E1071"/>
        <s v="E1072"/>
        <s v="E1073"/>
        <s v="E1074"/>
        <s v="E1075"/>
        <s v="E1076"/>
        <s v="E1077"/>
        <s v="E1078"/>
        <s v="E1079"/>
        <s v="E1080"/>
        <s v="E1081"/>
        <s v="E1082"/>
        <s v="E1083"/>
        <s v="E1084"/>
        <s v="E1085"/>
        <s v="E1086"/>
        <s v="E1087"/>
        <s v="E1088"/>
        <s v="E1089"/>
        <s v="E1090"/>
        <s v="E1091"/>
        <s v="E1092"/>
        <s v="E1093"/>
        <s v="E1094"/>
        <s v="E1095"/>
        <s v="E1096"/>
        <s v="E1097"/>
        <s v="E1098"/>
        <s v="E1099"/>
        <s v="E1100"/>
        <m/>
      </sharedItems>
    </cacheField>
    <cacheField name="First Name" numFmtId="0">
      <sharedItems containsBlank="1"/>
    </cacheField>
    <cacheField name="Last Name" numFmtId="0">
      <sharedItems containsBlank="1" count="17">
        <s v="Khan"/>
        <s v="Mehta"/>
        <s v="Das"/>
        <s v="Patel"/>
        <s v="Nair"/>
        <s v="Davis"/>
        <s v="Smith"/>
        <s v="Sharma"/>
        <s v="Taylor"/>
        <s v="Johnson"/>
        <s v="Wilson"/>
        <s v="Reddy"/>
        <s v="Gupta"/>
        <s v="Brown"/>
        <s v="Singh"/>
        <s v="Joshi"/>
        <m/>
      </sharedItems>
    </cacheField>
    <cacheField name="Gender" numFmtId="0">
      <sharedItems containsBlank="1" count="3">
        <s v="Female"/>
        <s v="Male"/>
        <m/>
      </sharedItems>
    </cacheField>
    <cacheField name="Department" numFmtId="0">
      <sharedItems containsBlank="1" count="6">
        <s v="HR"/>
        <s v="Engineering"/>
        <s v="Sales"/>
        <s v="Finance"/>
        <s v="Marketing"/>
        <m/>
      </sharedItems>
    </cacheField>
    <cacheField name="Job Title" numFmtId="0">
      <sharedItems containsBlank="1" count="17">
        <s v="HR Executive"/>
        <s v="Developer"/>
        <s v="Sales Lead"/>
        <s v="Finance Manager"/>
        <s v="Marketing Analyst"/>
        <s v="HR Manager"/>
        <s v="Recruiter"/>
        <s v="Accountant"/>
        <s v="Content Writer"/>
        <s v="Senior Developer"/>
        <s v="QA Engineer"/>
        <s v="Tech Lead"/>
        <s v="SEO Specialist"/>
        <s v="Account Manager"/>
        <s v="Financial Analyst"/>
        <s v="Sales Executive"/>
        <m/>
      </sharedItems>
    </cacheField>
    <cacheField name="Hire Date" numFmtId="0">
      <sharedItems containsNonDate="0" containsDate="1" containsString="0" containsBlank="1" minDate="2015-01-15T00:00:00" maxDate="2024-10-20T00:00:00" count="100">
        <d v="2015-07-17T00:00:00"/>
        <d v="2016-01-07T00:00:00"/>
        <d v="2021-03-30T00:00:00"/>
        <d v="2022-03-01T00:00:00"/>
        <d v="2023-09-19T00:00:00"/>
        <d v="2020-07-20T00:00:00"/>
        <d v="2015-06-10T00:00:00"/>
        <d v="2024-06-02T00:00:00"/>
        <d v="2018-11-22T00:00:00"/>
        <d v="2019-05-21T00:00:00"/>
        <d v="2016-09-10T00:00:00"/>
        <d v="2019-02-21T00:00:00"/>
        <d v="2016-02-29T00:00:00"/>
        <d v="2016-02-24T00:00:00"/>
        <d v="2021-10-02T00:00:00"/>
        <d v="2023-04-21T00:00:00"/>
        <d v="2022-03-18T00:00:00"/>
        <d v="2024-02-06T00:00:00"/>
        <d v="2023-11-11T00:00:00"/>
        <d v="2020-04-09T00:00:00"/>
        <d v="2016-05-06T00:00:00"/>
        <d v="2023-02-16T00:00:00"/>
        <d v="2021-02-25T00:00:00"/>
        <d v="2024-10-19T00:00:00"/>
        <d v="2023-04-19T00:00:00"/>
        <d v="2024-10-15T00:00:00"/>
        <d v="2022-08-26T00:00:00"/>
        <d v="2020-01-27T00:00:00"/>
        <d v="2024-01-20T00:00:00"/>
        <d v="2018-07-18T00:00:00"/>
        <d v="2020-03-30T00:00:00"/>
        <d v="2019-09-22T00:00:00"/>
        <d v="2021-12-30T00:00:00"/>
        <d v="2018-01-12T00:00:00"/>
        <d v="2018-02-17T00:00:00"/>
        <d v="2017-06-29T00:00:00"/>
        <d v="2017-09-03T00:00:00"/>
        <d v="2016-12-29T00:00:00"/>
        <d v="2020-01-06T00:00:00"/>
        <d v="2024-05-02T00:00:00"/>
        <d v="2015-12-13T00:00:00"/>
        <d v="2015-01-15T00:00:00"/>
        <d v="2018-10-05T00:00:00"/>
        <d v="2015-06-20T00:00:00"/>
        <d v="2020-07-17T00:00:00"/>
        <d v="2020-08-27T00:00:00"/>
        <d v="2019-03-23T00:00:00"/>
        <d v="2021-01-01T00:00:00"/>
        <d v="2024-06-25T00:00:00"/>
        <d v="2023-05-03T00:00:00"/>
        <d v="2022-12-13T00:00:00"/>
        <d v="2015-11-10T00:00:00"/>
        <d v="2019-01-12T00:00:00"/>
        <d v="2018-08-22T00:00:00"/>
        <d v="2019-05-18T00:00:00"/>
        <d v="2017-12-24T00:00:00"/>
        <d v="2023-03-19T00:00:00"/>
        <d v="2018-11-08T00:00:00"/>
        <d v="2019-06-04T00:00:00"/>
        <d v="2020-01-18T00:00:00"/>
        <d v="2024-01-29T00:00:00"/>
        <d v="2023-06-08T00:00:00"/>
        <d v="2020-01-01T00:00:00"/>
        <d v="2015-10-27T00:00:00"/>
        <d v="2022-08-25T00:00:00"/>
        <d v="2021-05-21T00:00:00"/>
        <d v="2015-10-16T00:00:00"/>
        <d v="2022-03-25T00:00:00"/>
        <d v="2017-11-19T00:00:00"/>
        <d v="2015-01-28T00:00:00"/>
        <d v="2018-04-23T00:00:00"/>
        <d v="2015-08-11T00:00:00"/>
        <d v="2016-04-08T00:00:00"/>
        <d v="2019-12-18T00:00:00"/>
        <d v="2024-03-19T00:00:00"/>
        <d v="2023-04-09T00:00:00"/>
        <d v="2017-11-18T00:00:00"/>
        <d v="2015-01-16T00:00:00"/>
        <d v="2019-10-28T00:00:00"/>
        <d v="2019-01-22T00:00:00"/>
        <d v="2018-08-27T00:00:00"/>
        <d v="2017-08-17T00:00:00"/>
        <d v="2017-11-06T00:00:00"/>
        <d v="2017-10-04T00:00:00"/>
        <d v="2020-01-11T00:00:00"/>
        <d v="2020-09-30T00:00:00"/>
        <d v="2015-06-30T00:00:00"/>
        <d v="2015-11-16T00:00:00"/>
        <d v="2022-04-28T00:00:00"/>
        <d v="2019-01-03T00:00:00"/>
        <d v="2016-10-03T00:00:00"/>
        <d v="2022-03-09T00:00:00"/>
        <d v="2015-10-02T00:00:00"/>
        <d v="2015-08-07T00:00:00"/>
        <d v="2020-04-21T00:00:00"/>
        <d v="2021-04-22T00:00:00"/>
        <d v="2019-05-14T00:00:00"/>
        <d v="2024-03-08T00:00:00"/>
        <d v="2020-09-20T00:00:00"/>
        <m/>
      </sharedItems>
      <fieldGroup par="19"/>
    </cacheField>
    <cacheField name="Salary" numFmtId="0">
      <sharedItems containsString="0" containsBlank="1" containsNumber="1" containsInteger="1" minValue="35000" maxValue="146500"/>
    </cacheField>
    <cacheField name="Bonus" numFmtId="0">
      <sharedItems containsBlank="1" containsMixedTypes="1" containsNumber="1" containsInteger="1" minValue="0" maxValue="12600" count="34">
        <n v="0"/>
        <n v="9200"/>
        <s v=")"/>
        <n v="3300"/>
        <n v="7000"/>
        <n v="3000"/>
        <n v="7300"/>
        <n v="5000"/>
        <n v="2300"/>
        <n v="10200"/>
        <n v="12600"/>
        <n v="4000"/>
        <n v="2200"/>
        <n v="2000"/>
        <n v="3700"/>
        <n v="9400"/>
        <n v="2400"/>
        <n v="3400"/>
        <n v="5400"/>
        <n v="11200"/>
        <n v="2800"/>
        <n v="4500"/>
        <n v="5700"/>
        <n v="3900"/>
        <n v="1800"/>
        <n v="3200"/>
        <n v="6000"/>
        <n v="2600"/>
        <n v="5200"/>
        <n v="5800"/>
        <n v="2700"/>
        <n v="5600"/>
        <n v="4800"/>
        <m/>
      </sharedItems>
    </cacheField>
    <cacheField name="Performance Rating" numFmtId="0">
      <sharedItems containsBlank="1" count="5">
        <s v="Average"/>
        <s v="Good"/>
        <s v="Poor"/>
        <s v="Excellent"/>
        <m/>
      </sharedItems>
    </cacheField>
    <cacheField name="City" numFmtId="0">
      <sharedItems containsBlank="1" count="7">
        <s v="Bangalore"/>
        <s v="Chennai"/>
        <s v="Hyderabad"/>
        <s v="Mumbai"/>
        <s v="Delhi"/>
        <s v="Pune"/>
        <m/>
      </sharedItems>
    </cacheField>
    <cacheField name="Status" numFmtId="0">
      <sharedItems containsBlank="1" count="4">
        <s v="Active"/>
        <s v="Resigned"/>
        <s v="On Leave"/>
        <m/>
      </sharedItems>
    </cacheField>
    <cacheField name="Phone" numFmtId="0">
      <sharedItems containsBlank="1"/>
    </cacheField>
    <cacheField name="full name" numFmtId="0">
      <sharedItems/>
    </cacheField>
    <cacheField name="salary and bonus" numFmtId="3">
      <sharedItems containsBlank="1" containsMixedTypes="1" containsNumber="1" containsInteger="1" minValue="36800" maxValue="153800" count="83">
        <n v="77500"/>
        <n v="100700"/>
        <n v="43000"/>
        <n v="82500"/>
        <n v="73000"/>
        <n v="74500"/>
        <n v="62500"/>
        <n v="39500"/>
        <e v="#VALUE!"/>
        <n v="69300"/>
        <n v="50000"/>
        <n v="77000"/>
        <n v="64000"/>
        <n v="48500"/>
        <n v="63000"/>
        <n v="105000"/>
        <n v="64500"/>
        <n v="80000"/>
        <n v="63500"/>
        <n v="89500"/>
        <n v="153800"/>
        <n v="40500"/>
        <n v="55000"/>
        <n v="94000"/>
        <n v="44000"/>
        <n v="48300"/>
        <n v="112700"/>
        <n v="139100"/>
        <n v="84000"/>
        <n v="49000"/>
        <n v="57000"/>
        <n v="74000"/>
        <n v="46000"/>
        <n v="101000"/>
        <n v="91500"/>
        <n v="89000"/>
        <n v="51000"/>
        <n v="53000"/>
        <n v="45700"/>
        <n v="69000"/>
        <n v="42000"/>
        <n v="77200"/>
        <n v="87000"/>
        <n v="103900"/>
        <n v="49400"/>
        <n v="126000"/>
        <n v="70900"/>
        <n v="59400"/>
        <n v="62000"/>
        <n v="85000"/>
        <n v="40000"/>
        <n v="122700"/>
        <n v="59300"/>
        <n v="69800"/>
        <n v="94500"/>
        <n v="62700"/>
        <n v="81400"/>
        <n v="36800"/>
        <n v="60500"/>
        <n v="48000"/>
        <n v="90000"/>
        <n v="66000"/>
        <n v="88000"/>
        <n v="61500"/>
        <n v="90500"/>
        <n v="67200"/>
        <n v="68000"/>
        <n v="65500"/>
        <n v="54100"/>
        <n v="80500"/>
        <n v="46500"/>
        <n v="56700"/>
        <n v="95000"/>
        <n v="109000"/>
        <n v="49500"/>
        <n v="108200"/>
        <n v="122800"/>
        <n v="57200"/>
        <n v="56500"/>
        <n v="61100"/>
        <n v="42500"/>
        <n v="100800"/>
        <m/>
      </sharedItems>
    </cacheField>
    <cacheField name="EXPERIENCE" numFmtId="0">
      <sharedItems containsString="0" containsBlank="1" containsNumber="1" containsInteger="1" minValue="2" maxValue="11"/>
    </cacheField>
    <cacheField name="RATING" numFmtId="0">
      <sharedItems containsBlank="1" count="4">
        <s v="B"/>
        <s v="C"/>
        <s v="A"/>
        <m/>
      </sharedItems>
    </cacheField>
    <cacheField name="Months (Hire Date)" numFmtId="0" databaseField="0">
      <fieldGroup base="6">
        <rangePr groupBy="months" startDate="2015-01-15T00:00:00" endDate="2024-10-20T00:00:00"/>
        <groupItems count="14">
          <s v="&lt;15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10-2024"/>
        </groupItems>
      </fieldGroup>
    </cacheField>
    <cacheField name="Quarters (Hire Date)" numFmtId="0" databaseField="0">
      <fieldGroup base="6">
        <rangePr groupBy="quarters" startDate="2015-01-15T00:00:00" endDate="2024-10-20T00:00:00"/>
        <groupItems count="6">
          <s v="&lt;15-01-2015"/>
          <s v="Qtr1"/>
          <s v="Qtr2"/>
          <s v="Qtr3"/>
          <s v="Qtr4"/>
          <s v="&gt;20-10-2024"/>
        </groupItems>
      </fieldGroup>
    </cacheField>
    <cacheField name="Years (Hire Date)" numFmtId="0" databaseField="0">
      <fieldGroup base="6">
        <rangePr groupBy="years" startDate="2015-01-15T00:00:00" endDate="2024-10-20T00:00:00"/>
        <groupItems count="12">
          <s v="&lt;15-01-2015"/>
          <s v="2015"/>
          <s v="2016"/>
          <s v="2017"/>
          <s v="2018"/>
          <s v="2019"/>
          <s v="2020"/>
          <s v="2021"/>
          <s v="2022"/>
          <s v="2023"/>
          <s v="2024"/>
          <s v="&gt;20-10-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1001"/>
    <s v="Ananya"/>
    <s v="Khan"/>
    <s v="Female"/>
    <x v="0"/>
    <s v="HR Executive"/>
    <d v="2015-07-17T00:00:00"/>
    <n v="77500"/>
    <n v="0"/>
    <s v="Average"/>
    <s v="Bangalore"/>
    <s v="Active"/>
    <n v="9644854973"/>
    <s v="Ananya Khan"/>
    <n v="77500"/>
    <n v="11"/>
    <s v="B"/>
    <s v="9+ yrs"/>
    <s v="Rekha Iyer"/>
    <n v="5000000"/>
    <n v="2015"/>
  </r>
  <r>
    <s v="E1002"/>
    <s v="Divya"/>
    <s v="Mehta"/>
    <s v="Female"/>
    <x v="1"/>
    <s v="Developer"/>
    <d v="2016-01-07T00:00:00"/>
    <n v="91500"/>
    <n v="9200"/>
    <s v="Good"/>
    <s v="Chennai"/>
    <s v="Active"/>
    <s v="No Phone"/>
    <s v="Divya Mehta"/>
    <n v="100700"/>
    <n v="10"/>
    <s v="B"/>
    <s v="9+ yrs"/>
    <s v="Anil Kumar"/>
    <n v="15000000"/>
    <n v="2016"/>
  </r>
  <r>
    <s v="E1003"/>
    <s v="Priya"/>
    <s v="Das"/>
    <s v="Female"/>
    <x v="2"/>
    <s v="Sales Lead"/>
    <d v="2021-03-30T00:00:00"/>
    <n v="43000"/>
    <n v="0"/>
    <s v="Good"/>
    <s v="Hyderabad"/>
    <s v="Active"/>
    <s v="No Phone"/>
    <s v="Priya Das"/>
    <n v="43000"/>
    <n v="5"/>
    <s v="C"/>
    <s v="3-5 yrs"/>
    <s v="Sunita Rao"/>
    <n v="9000000"/>
    <n v="2021"/>
  </r>
  <r>
    <s v="E1004"/>
    <s v="Rahul"/>
    <s v="Patel"/>
    <s v="Male"/>
    <x v="3"/>
    <s v="Finance Manager"/>
    <d v="2022-03-01T00:00:00"/>
    <n v="82500"/>
    <n v="0"/>
    <s v="Good"/>
    <s v="Mumbai"/>
    <s v="Active"/>
    <s v="No Phone"/>
    <s v="Rahul Patel"/>
    <n v="82500"/>
    <n v="4"/>
    <s v="B"/>
    <s v="3-5 yrs"/>
    <s v="Suresh Menon"/>
    <n v="8000000"/>
    <n v="2022"/>
  </r>
  <r>
    <s v="E1005"/>
    <s v="Emma"/>
    <s v="Nair"/>
    <s v="Female"/>
    <x v="3"/>
    <s v="Finance Manager"/>
    <d v="2023-09-19T00:00:00"/>
    <n v="73000"/>
    <n v="0"/>
    <s v="Good"/>
    <s v="Mumbai"/>
    <s v="Resigned"/>
    <n v="9366746013"/>
    <s v="Emma Nair"/>
    <n v="73000"/>
    <n v="3"/>
    <s v="B"/>
    <s v="3-5 yrs"/>
    <s v="Suresh Menon"/>
    <n v="8000000"/>
    <n v="2023"/>
  </r>
  <r>
    <s v="E1006"/>
    <s v="Nikhil"/>
    <s v="Davis"/>
    <s v="Male"/>
    <x v="4"/>
    <s v="Marketing Analyst"/>
    <d v="2020-07-20T00:00:00"/>
    <n v="74500"/>
    <n v="0"/>
    <s v="Average"/>
    <s v="Delhi"/>
    <s v="Active"/>
    <n v="9226772164"/>
    <s v="Nikhil Davis"/>
    <n v="74500"/>
    <n v="6"/>
    <s v="B"/>
    <s v="6-8 yrs"/>
    <s v="David Miller"/>
    <n v="7000000"/>
    <n v="2020"/>
  </r>
  <r>
    <s v="E1007"/>
    <s v="Lucas"/>
    <s v="Smith"/>
    <s v="Male"/>
    <x v="0"/>
    <s v="HR Manager"/>
    <d v="2015-06-10T00:00:00"/>
    <n v="62500"/>
    <n v="0"/>
    <s v="Average"/>
    <s v="Delhi"/>
    <s v="Active"/>
    <n v="9436883827"/>
    <s v="Lucas Smith"/>
    <n v="62500"/>
    <n v="11"/>
    <s v="B"/>
    <s v="9+ yrs"/>
    <s v="Rekha Iyer"/>
    <n v="5000000"/>
    <n v="2015"/>
  </r>
  <r>
    <s v="E1008"/>
    <s v="Riya"/>
    <s v="Das"/>
    <s v="Female"/>
    <x v="0"/>
    <s v="HR Manager"/>
    <d v="2024-06-02T00:00:00"/>
    <n v="39500"/>
    <n v="0"/>
    <s v="Poor"/>
    <s v="Chennai"/>
    <s v="Active"/>
    <n v="9165143298"/>
    <s v="Riya Das"/>
    <n v="39500"/>
    <n v="2"/>
    <s v="C"/>
    <s v="0-2 yrs"/>
    <s v="Rekha Iyer"/>
    <n v="5000000"/>
    <n v="2024"/>
  </r>
  <r>
    <s v="E1009"/>
    <s v="Kavya"/>
    <s v="Patel"/>
    <s v="Female"/>
    <x v="0"/>
    <s v="HR Executive"/>
    <d v="2018-11-22T00:00:00"/>
    <n v="79000"/>
    <n v="0"/>
    <s v="Poor"/>
    <s v="Delhi"/>
    <s v="Active"/>
    <n v="9630098818"/>
    <s v="Kavya Patel"/>
    <n v="79000"/>
    <n v="7"/>
    <s v="B"/>
    <s v="6-8 yrs"/>
    <s v="Rekha Iyer"/>
    <n v="5000000"/>
    <n v="2018"/>
  </r>
  <r>
    <s v="E1010"/>
    <s v="Liam"/>
    <s v="Davis"/>
    <s v="Male"/>
    <x v="2"/>
    <s v="Sales Lead"/>
    <d v="2019-05-21T00:00:00"/>
    <n v="66000"/>
    <n v="3300"/>
    <s v="Excellent"/>
    <s v="Delhi"/>
    <s v="Active"/>
    <n v="9247023327"/>
    <s v="Liam Davis"/>
    <n v="69300"/>
    <n v="7"/>
    <s v="B"/>
    <s v="6-8 yrs"/>
    <s v="Sunita Rao"/>
    <n v="9000000"/>
    <n v="2019"/>
  </r>
  <r>
    <s v="E1011"/>
    <s v="Pooja"/>
    <s v="Nair"/>
    <s v="Female"/>
    <x v="0"/>
    <s v="Recruiter"/>
    <d v="2016-09-10T00:00:00"/>
    <n v="50000"/>
    <n v="0"/>
    <s v="Good"/>
    <s v="Delhi"/>
    <s v="Active"/>
    <n v="9620724767"/>
    <s v="Pooja Nair"/>
    <n v="50000"/>
    <n v="10"/>
    <s v="C"/>
    <s v="9+ yrs"/>
    <s v="Rekha Iyer"/>
    <n v="5000000"/>
    <n v="2016"/>
  </r>
  <r>
    <s v="E1012"/>
    <s v="Vikram"/>
    <s v="Patel"/>
    <s v="Male"/>
    <x v="0"/>
    <s v="Recruiter"/>
    <d v="2019-02-21T00:00:00"/>
    <n v="70000"/>
    <n v="7000"/>
    <s v="Good"/>
    <s v="Hyderabad"/>
    <s v="On Leave"/>
    <n v="9653504709"/>
    <s v="Vikram Patel"/>
    <n v="77000"/>
    <n v="7"/>
    <s v="B"/>
    <s v="6-8 yrs"/>
    <s v="Rekha Iyer"/>
    <n v="5000000"/>
    <n v="2019"/>
  </r>
  <r>
    <s v="E1013"/>
    <s v="Divya"/>
    <s v="Khan"/>
    <s v="Female"/>
    <x v="0"/>
    <s v="Recruiter"/>
    <d v="2016-02-29T00:00:00"/>
    <n v="61000"/>
    <n v="3000"/>
    <s v="Average"/>
    <s v="Mumbai"/>
    <s v="Active"/>
    <s v="No Phone"/>
    <s v="Divya Khan"/>
    <n v="64000"/>
    <n v="10"/>
    <s v="B"/>
    <s v="9+ yrs"/>
    <s v="Rekha Iyer"/>
    <n v="5000000"/>
    <n v="2016"/>
  </r>
  <r>
    <s v="E1014"/>
    <s v="Imran"/>
    <s v="Sharma"/>
    <s v="Male"/>
    <x v="3"/>
    <s v="Accountant"/>
    <d v="2016-02-24T00:00:00"/>
    <n v="48500"/>
    <n v="0"/>
    <s v="Good"/>
    <s v="Mumbai"/>
    <s v="Active"/>
    <n v="9758995368"/>
    <s v="Imran Sharma"/>
    <n v="48500"/>
    <n v="10"/>
    <s v="C"/>
    <s v="9+ yrs"/>
    <s v="Suresh Menon"/>
    <n v="8000000"/>
    <n v="2016"/>
  </r>
  <r>
    <s v="E1015"/>
    <s v="Ananya"/>
    <s v="Taylor"/>
    <s v="Female"/>
    <x v="4"/>
    <s v="Content Writer"/>
    <d v="2021-10-02T00:00:00"/>
    <n v="63000"/>
    <n v="0"/>
    <s v="Good"/>
    <s v="Delhi"/>
    <s v="Active"/>
    <n v="9600352373"/>
    <s v="Ananya Taylor"/>
    <n v="63000"/>
    <n v="5"/>
    <s v="B"/>
    <s v="3-5 yrs"/>
    <s v="David Miller"/>
    <n v="7000000"/>
    <n v="2021"/>
  </r>
  <r>
    <s v="E1016"/>
    <s v="Vikram"/>
    <s v="Johnson"/>
    <s v="Male"/>
    <x v="1"/>
    <s v="Senior Developer"/>
    <d v="2023-04-21T00:00:00"/>
    <n v="105000"/>
    <n v="0"/>
    <s v="Good"/>
    <s v="Hyderabad"/>
    <s v="Active"/>
    <n v="9320347933"/>
    <s v="Vikram Johnson"/>
    <n v="105000"/>
    <n v="3"/>
    <s v="A"/>
    <s v="3-5 yrs"/>
    <s v="Anil Kumar"/>
    <n v="15000000"/>
    <n v="2023"/>
  </r>
  <r>
    <s v="E1017"/>
    <s v="Noah"/>
    <s v="Johnson"/>
    <s v="Male"/>
    <x v="3"/>
    <s v="Accountant"/>
    <d v="2022-03-18T00:00:00"/>
    <n v="64500"/>
    <n v="0"/>
    <s v="Average"/>
    <s v="Chennai"/>
    <s v="Active"/>
    <n v="9279360017"/>
    <s v="Noah Johnson"/>
    <n v="64500"/>
    <n v="4"/>
    <s v="B"/>
    <s v="3-5 yrs"/>
    <s v="Suresh Menon"/>
    <n v="8000000"/>
    <n v="2022"/>
  </r>
  <r>
    <s v="E1018"/>
    <s v="Emma"/>
    <s v="Khan"/>
    <s v="Female"/>
    <x v="2"/>
    <s v="Sales Lead"/>
    <d v="2024-02-06T00:00:00"/>
    <n v="80000"/>
    <n v="0"/>
    <s v="Average"/>
    <s v="Pune"/>
    <s v="Active"/>
    <n v="9343459673"/>
    <s v="Emma Khan"/>
    <n v="80000"/>
    <n v="2"/>
    <s v="B"/>
    <s v="0-2 yrs"/>
    <s v="Sunita Rao"/>
    <n v="9000000"/>
    <n v="2024"/>
  </r>
  <r>
    <s v="E1019"/>
    <s v="Olivia"/>
    <s v="Wilson"/>
    <s v="Female"/>
    <x v="1"/>
    <s v="QA Engineer"/>
    <d v="2023-11-11T00:00:00"/>
    <n v="63500"/>
    <n v="0"/>
    <s v="Good"/>
    <s v="Delhi"/>
    <s v="Active"/>
    <n v="9469668829"/>
    <s v="Olivia Wilson"/>
    <n v="63500"/>
    <n v="2"/>
    <s v="B"/>
    <s v="0-2 yrs"/>
    <s v="Anil Kumar"/>
    <n v="15000000"/>
    <n v="2023"/>
  </r>
  <r>
    <s v="E1020"/>
    <s v="Rohan"/>
    <s v="Sharma"/>
    <s v="Male"/>
    <x v="1"/>
    <s v="Tech Lead"/>
    <d v="2020-04-09T00:00:00"/>
    <n v="89500"/>
    <n v="0"/>
    <s v="Good"/>
    <s v="Hyderabad"/>
    <s v="Active"/>
    <n v="9755263987"/>
    <s v="Rohan Sharma"/>
    <n v="89500"/>
    <n v="6"/>
    <s v="B"/>
    <s v="6-8 yrs"/>
    <s v="Anil Kumar"/>
    <n v="15000000"/>
    <n v="2020"/>
  </r>
  <r>
    <s v="E1021"/>
    <s v="Sophia"/>
    <s v="Davis"/>
    <s v="Female"/>
    <x v="1"/>
    <s v="QA Engineer"/>
    <d v="2016-05-06T00:00:00"/>
    <n v="146500"/>
    <n v="7300"/>
    <s v="Average"/>
    <s v="Bangalore"/>
    <s v="Active"/>
    <n v="9291686239"/>
    <s v="Sophia Davis"/>
    <n v="153800"/>
    <n v="10"/>
    <s v="A"/>
    <s v="9+ yrs"/>
    <s v="Anil Kumar"/>
    <n v="15000000"/>
    <n v="2016"/>
  </r>
  <r>
    <s v="E1022"/>
    <s v="Meera"/>
    <s v="Reddy"/>
    <s v="Female"/>
    <x v="0"/>
    <s v="HR Manager"/>
    <d v="2023-02-16T00:00:00"/>
    <n v="40500"/>
    <n v="0"/>
    <s v="Good"/>
    <s v="Chennai"/>
    <s v="Active"/>
    <n v="9599669927"/>
    <s v="Meera Reddy"/>
    <n v="40500"/>
    <n v="3"/>
    <s v="C"/>
    <s v="3-5 yrs"/>
    <s v="Rekha Iyer"/>
    <n v="5000000"/>
    <n v="2023"/>
  </r>
  <r>
    <s v="E1023"/>
    <s v="Emma"/>
    <s v="Gupta"/>
    <s v="Female"/>
    <x v="4"/>
    <s v="SEO Specialist"/>
    <d v="2021-02-25T00:00:00"/>
    <n v="50000"/>
    <n v="5000"/>
    <s v="Excellent"/>
    <s v="Hyderabad"/>
    <s v="Active"/>
    <n v="9797582865"/>
    <s v="Emma Gupta"/>
    <n v="55000"/>
    <n v="5"/>
    <s v="C"/>
    <s v="3-5 yrs"/>
    <s v="David Miller"/>
    <n v="7000000"/>
    <n v="2021"/>
  </r>
  <r>
    <s v="E1024"/>
    <s v="Karan"/>
    <s v="Smith"/>
    <s v="Male"/>
    <x v="2"/>
    <s v="Account Manager"/>
    <d v="2024-10-19T00:00:00"/>
    <n v="94000"/>
    <n v="0"/>
    <s v="Excellent"/>
    <s v="Chennai"/>
    <s v="Active"/>
    <n v="9919994920"/>
    <s v="Karan Smith"/>
    <n v="94000"/>
    <n v="2"/>
    <s v="B"/>
    <s v="0-2 yrs"/>
    <s v="Sunita Rao"/>
    <n v="9000000"/>
    <n v="2024"/>
  </r>
  <r>
    <s v="E1025"/>
    <s v="Ava"/>
    <s v="Davis"/>
    <s v="Female"/>
    <x v="2"/>
    <s v="Sales Lead"/>
    <d v="2023-04-19T00:00:00"/>
    <n v="44000"/>
    <n v="0"/>
    <s v="Average"/>
    <s v="Mumbai"/>
    <s v="Active"/>
    <n v="9654867725"/>
    <s v="Ava Davis"/>
    <n v="44000"/>
    <n v="3"/>
    <s v="C"/>
    <s v="3-5 yrs"/>
    <s v="Sunita Rao"/>
    <n v="9000000"/>
    <n v="2023"/>
  </r>
  <r>
    <s v="E1026"/>
    <s v="Sanjay"/>
    <s v="Nair"/>
    <s v="Male"/>
    <x v="3"/>
    <s v="Accountant"/>
    <d v="2024-10-15T00:00:00"/>
    <n v="46000"/>
    <n v="2300"/>
    <s v="Average"/>
    <s v="Pune"/>
    <s v="Active"/>
    <n v="9260849193"/>
    <s v="Sanjay Nair"/>
    <n v="48300"/>
    <n v="2"/>
    <s v="C"/>
    <s v="0-2 yrs"/>
    <s v="Suresh Menon"/>
    <n v="8000000"/>
    <n v="2024"/>
  </r>
  <r>
    <s v="E1027"/>
    <s v="Sanjay"/>
    <s v="Patel"/>
    <s v="Male"/>
    <x v="1"/>
    <s v="Senior Developer"/>
    <d v="2022-08-26T00:00:00"/>
    <n v="102500"/>
    <n v="10200"/>
    <s v="Good"/>
    <s v="Mumbai"/>
    <s v="Active"/>
    <n v="9701613399"/>
    <s v="Sanjay Patel"/>
    <n v="112700"/>
    <n v="4"/>
    <s v="A"/>
    <s v="3-5 yrs"/>
    <s v="Anil Kumar"/>
    <n v="15000000"/>
    <n v="2022"/>
  </r>
  <r>
    <s v="E1028"/>
    <s v="Priya"/>
    <s v="Smith"/>
    <s v="Female"/>
    <x v="1"/>
    <s v="Senior Developer"/>
    <d v="2020-01-27T00:00:00"/>
    <n v="126500"/>
    <n v="12600"/>
    <s v="Excellent"/>
    <s v="Hyderabad"/>
    <s v="Resigned"/>
    <s v="No Phone"/>
    <s v="Priya Smith"/>
    <n v="139100"/>
    <n v="6"/>
    <s v="A"/>
    <s v="6-8 yrs"/>
    <s v="Anil Kumar"/>
    <n v="15000000"/>
    <n v="2020"/>
  </r>
  <r>
    <s v="E1029"/>
    <s v="Meera"/>
    <s v="Khan"/>
    <s v="Female"/>
    <x v="3"/>
    <s v="Financial Analyst"/>
    <d v="2024-01-20T00:00:00"/>
    <n v="80000"/>
    <n v="4000"/>
    <s v="Good"/>
    <s v="Mumbai"/>
    <s v="Active"/>
    <n v="9378735098"/>
    <s v="Meera Khan"/>
    <n v="84000"/>
    <n v="2"/>
    <s v="B"/>
    <s v="0-2 yrs"/>
    <s v="Suresh Menon"/>
    <n v="8000000"/>
    <n v="2024"/>
  </r>
  <r>
    <s v="E1030"/>
    <s v="Sneha"/>
    <s v="Gupta"/>
    <s v="Female"/>
    <x v="0"/>
    <s v="HR Executive"/>
    <d v="2018-07-18T00:00:00"/>
    <n v="64000"/>
    <n v="0"/>
    <s v="Average"/>
    <s v="Hyderabad"/>
    <s v="Active"/>
    <n v="9425107627"/>
    <s v="Sneha Gupta"/>
    <n v="64000"/>
    <n v="8"/>
    <s v="B"/>
    <s v="6-8 yrs"/>
    <s v="Rekha Iyer"/>
    <n v="5000000"/>
    <n v="2018"/>
  </r>
  <r>
    <s v="E1031"/>
    <s v="Ananya"/>
    <s v="Mehta"/>
    <s v="Female"/>
    <x v="4"/>
    <s v="Marketing Analyst"/>
    <d v="2020-03-30T00:00:00"/>
    <n v="49000"/>
    <n v="0"/>
    <s v="Average"/>
    <s v="Hyderabad"/>
    <s v="Active"/>
    <n v="9274799977"/>
    <s v="Ananya Mehta"/>
    <n v="49000"/>
    <n v="6"/>
    <s v="C"/>
    <s v="6-8 yrs"/>
    <s v="David Miller"/>
    <n v="7000000"/>
    <n v="2020"/>
  </r>
  <r>
    <s v="E1032"/>
    <s v="Isha"/>
    <s v="Wilson"/>
    <s v="Female"/>
    <x v="0"/>
    <s v="Recruiter"/>
    <d v="2019-09-22T00:00:00"/>
    <n v="57000"/>
    <n v="0"/>
    <s v="Good"/>
    <s v="Hyderabad"/>
    <s v="Active"/>
    <n v="9462902921"/>
    <s v="Isha Wilson"/>
    <n v="57000"/>
    <n v="7"/>
    <s v="C"/>
    <s v="6-8 yrs"/>
    <s v="Rekha Iyer"/>
    <n v="5000000"/>
    <n v="2019"/>
  </r>
  <r>
    <s v="E1033"/>
    <s v="Karan"/>
    <s v="Mehta"/>
    <s v="Male"/>
    <x v="4"/>
    <s v="Marketing Analyst"/>
    <d v="2021-12-30T00:00:00"/>
    <n v="74000"/>
    <n v="0"/>
    <s v="Good"/>
    <s v="Bangalore"/>
    <s v="Active"/>
    <n v="9946498388"/>
    <s v="Karan Mehta"/>
    <n v="74000"/>
    <n v="4"/>
    <s v="B"/>
    <s v="3-5 yrs"/>
    <s v="David Miller"/>
    <n v="7000000"/>
    <n v="2021"/>
  </r>
  <r>
    <s v="E1034"/>
    <s v="Kavya"/>
    <s v="Brown"/>
    <s v="Female"/>
    <x v="1"/>
    <s v="Senior Developer"/>
    <d v="2018-01-12T00:00:00"/>
    <n v="84000"/>
    <n v="0"/>
    <s v="Average"/>
    <s v="Chennai"/>
    <s v="Active"/>
    <n v="9377679317"/>
    <s v="Kavya Brown"/>
    <n v="84000"/>
    <n v="8"/>
    <s v="B"/>
    <s v="6-8 yrs"/>
    <s v="Anil Kumar"/>
    <n v="15000000"/>
    <n v="2018"/>
  </r>
  <r>
    <s v="E1035"/>
    <s v="Olivia"/>
    <s v="Sharma"/>
    <s v="Female"/>
    <x v="4"/>
    <s v="SEO Specialist"/>
    <d v="2018-02-17T00:00:00"/>
    <n v="46000"/>
    <n v="0"/>
    <s v="Average"/>
    <s v="Bangalore"/>
    <s v="Active"/>
    <n v="9388754324"/>
    <s v="Olivia Sharma"/>
    <n v="46000"/>
    <n v="8"/>
    <s v="C"/>
    <s v="6-8 yrs"/>
    <s v="David Miller"/>
    <n v="7000000"/>
    <n v="2018"/>
  </r>
  <r>
    <s v="E1036"/>
    <s v="Sneha"/>
    <s v="Davis"/>
    <s v="Female"/>
    <x v="3"/>
    <s v="Financial Analyst"/>
    <d v="2017-06-29T00:00:00"/>
    <n v="101000"/>
    <n v="0"/>
    <s v="Good"/>
    <s v="Chennai"/>
    <s v="Active"/>
    <s v="No Phone"/>
    <s v="Sneha Davis"/>
    <n v="101000"/>
    <n v="9"/>
    <s v="A"/>
    <s v="9+ yrs"/>
    <s v="Suresh Menon"/>
    <n v="8000000"/>
    <n v="2017"/>
  </r>
  <r>
    <s v="E1037"/>
    <s v="Aarav"/>
    <s v="Das"/>
    <s v="Male"/>
    <x v="3"/>
    <s v="Finance Manager"/>
    <d v="2017-09-03T00:00:00"/>
    <n v="91500"/>
    <n v="0"/>
    <s v="Poor"/>
    <s v="Mumbai"/>
    <s v="Active"/>
    <n v="9434999291"/>
    <s v="Aarav Das"/>
    <n v="91500"/>
    <n v="9"/>
    <s v="B"/>
    <s v="9+ yrs"/>
    <s v="Suresh Menon"/>
    <n v="8000000"/>
    <n v="2017"/>
  </r>
  <r>
    <s v="E1038"/>
    <s v="Meera"/>
    <s v="Sharma"/>
    <s v="Female"/>
    <x v="3"/>
    <s v="Finance Manager"/>
    <d v="2016-12-29T00:00:00"/>
    <n v="89000"/>
    <n v="0"/>
    <s v="Good"/>
    <s v="Chennai"/>
    <s v="Active"/>
    <n v="9116477768"/>
    <s v="Meera Sharma"/>
    <n v="89000"/>
    <n v="9"/>
    <s v="B"/>
    <s v="9+ yrs"/>
    <s v="Suresh Menon"/>
    <n v="8000000"/>
    <n v="2016"/>
  </r>
  <r>
    <s v="E1039"/>
    <s v="Sanjay"/>
    <s v="Brown"/>
    <s v="Male"/>
    <x v="0"/>
    <s v="HR Manager"/>
    <d v="2020-01-06T00:00:00"/>
    <n v="51000"/>
    <n v="0"/>
    <s v="Average"/>
    <s v="Delhi"/>
    <s v="Active"/>
    <n v="9686162372"/>
    <s v="Sanjay Brown"/>
    <n v="51000"/>
    <n v="6"/>
    <s v="C"/>
    <s v="6-8 yrs"/>
    <s v="Rekha Iyer"/>
    <n v="5000000"/>
    <n v="2020"/>
  </r>
  <r>
    <s v="E1040"/>
    <s v="Rohan"/>
    <s v="Reddy"/>
    <s v="Male"/>
    <x v="4"/>
    <s v="Marketing Analyst"/>
    <d v="2024-05-02T00:00:00"/>
    <n v="53000"/>
    <n v="0"/>
    <s v="Good"/>
    <s v="Bangalore"/>
    <s v="Active"/>
    <s v="No Phone"/>
    <s v="Rohan Reddy"/>
    <n v="53000"/>
    <n v="2"/>
    <s v="C"/>
    <s v="0-2 yrs"/>
    <s v="David Miller"/>
    <n v="7000000"/>
    <n v="2024"/>
  </r>
  <r>
    <s v="E1041"/>
    <s v="Divya"/>
    <s v="Das"/>
    <s v="Female"/>
    <x v="2"/>
    <s v="Sales Executive"/>
    <d v="2015-12-13T00:00:00"/>
    <n v="43500"/>
    <n v="2200"/>
    <s v="Average"/>
    <s v="Pune"/>
    <s v="Active"/>
    <n v="9360074153"/>
    <s v="Divya Das"/>
    <n v="45700"/>
    <n v="10"/>
    <s v="C"/>
    <s v="9+ yrs"/>
    <s v="Sunita Rao"/>
    <n v="9000000"/>
    <n v="2015"/>
  </r>
  <r>
    <s v="E1042"/>
    <s v="Vikram"/>
    <s v="Mehta"/>
    <s v="Male"/>
    <x v="4"/>
    <s v="Marketing Analyst"/>
    <d v="2015-01-15T00:00:00"/>
    <n v="69000"/>
    <n v="0"/>
    <s v="Good"/>
    <s v="Delhi"/>
    <s v="Active"/>
    <n v="9447391878"/>
    <s v="Vikram Mehta"/>
    <n v="69000"/>
    <n v="11"/>
    <s v="B"/>
    <s v="9+ yrs"/>
    <s v="David Miller"/>
    <n v="7000000"/>
    <n v="2015"/>
  </r>
  <r>
    <s v="E1043"/>
    <s v="Imran"/>
    <s v="Sharma"/>
    <s v="Male"/>
    <x v="2"/>
    <s v="Sales Executive"/>
    <d v="2018-10-05T00:00:00"/>
    <n v="40000"/>
    <n v="2000"/>
    <s v="Excellent"/>
    <s v="Delhi"/>
    <s v="Active"/>
    <n v="9366480598"/>
    <s v="Imran Sharma"/>
    <n v="42000"/>
    <n v="8"/>
    <s v="C"/>
    <s v="6-8 yrs"/>
    <s v="Sunita Rao"/>
    <n v="9000000"/>
    <n v="2018"/>
  </r>
  <r>
    <s v="E1044"/>
    <s v="Vikram"/>
    <s v="Reddy"/>
    <s v="Male"/>
    <x v="0"/>
    <s v="HR Manager"/>
    <d v="2015-06-20T00:00:00"/>
    <n v="73500"/>
    <n v="3700"/>
    <s v="Excellent"/>
    <s v="Hyderabad"/>
    <s v="Active"/>
    <n v="9728765263"/>
    <s v="Vikram Reddy"/>
    <n v="77200"/>
    <n v="11"/>
    <s v="B"/>
    <s v="9+ yrs"/>
    <s v="Rekha Iyer"/>
    <n v="5000000"/>
    <n v="2015"/>
  </r>
  <r>
    <s v="E1045"/>
    <s v="Sophia"/>
    <s v="Davis"/>
    <s v="Female"/>
    <x v="4"/>
    <s v="SEO Specialist"/>
    <d v="2020-07-17T00:00:00"/>
    <n v="87000"/>
    <n v="0"/>
    <s v="Good"/>
    <s v="Hyderabad"/>
    <s v="Active"/>
    <s v="No Phone"/>
    <s v="Sophia Davis"/>
    <n v="87000"/>
    <n v="6"/>
    <s v="B"/>
    <s v="6-8 yrs"/>
    <s v="David Miller"/>
    <n v="7000000"/>
    <n v="2020"/>
  </r>
  <r>
    <s v="E1046"/>
    <s v="Lucas"/>
    <s v="Mehta"/>
    <s v="Male"/>
    <x v="3"/>
    <s v="Accountant"/>
    <d v="2020-08-27T00:00:00"/>
    <n v="94500"/>
    <n v="9400"/>
    <s v="Average"/>
    <s v="Bangalore"/>
    <s v="Active"/>
    <n v="9727131272"/>
    <s v="Lucas Mehta"/>
    <n v="103900"/>
    <n v="6"/>
    <s v="B"/>
    <s v="6-8 yrs"/>
    <s v="Suresh Menon"/>
    <n v="8000000"/>
    <n v="2020"/>
  </r>
  <r>
    <s v="E1047"/>
    <s v="Vikram"/>
    <s v="Mehta"/>
    <s v="Male"/>
    <x v="4"/>
    <s v="Content Writer"/>
    <d v="2019-03-23T00:00:00"/>
    <n v="47000"/>
    <n v="2400"/>
    <s v="Good"/>
    <s v="Delhi"/>
    <s v="Active"/>
    <n v="9830857592"/>
    <s v="Vikram Mehta"/>
    <n v="49400"/>
    <n v="7"/>
    <s v="C"/>
    <s v="6-8 yrs"/>
    <s v="David Miller"/>
    <n v="7000000"/>
    <n v="2019"/>
  </r>
  <r>
    <s v="E1048"/>
    <s v="Amit"/>
    <s v="Singh"/>
    <s v="Male"/>
    <x v="1"/>
    <s v="QA Engineer"/>
    <d v="2021-01-01T00:00:00"/>
    <n v="126000"/>
    <n v="0"/>
    <s v="Average"/>
    <s v="Mumbai"/>
    <s v="Active"/>
    <n v="9370790737"/>
    <s v="Amit Singh"/>
    <n v="126000"/>
    <n v="5"/>
    <s v="A"/>
    <s v="3-5 yrs"/>
    <s v="Anil Kumar"/>
    <n v="15000000"/>
    <n v="2021"/>
  </r>
  <r>
    <s v="E1049"/>
    <s v="Rohan"/>
    <s v="Khan"/>
    <s v="Male"/>
    <x v="0"/>
    <s v="HR Executive"/>
    <d v="2024-06-25T00:00:00"/>
    <n v="67500"/>
    <n v="3400"/>
    <s v="Excellent"/>
    <s v="Chennai"/>
    <s v="Resigned"/>
    <n v="9150194735"/>
    <s v="Rohan Khan"/>
    <n v="70900"/>
    <n v="2"/>
    <s v="B"/>
    <s v="0-2 yrs"/>
    <s v="Rekha Iyer"/>
    <n v="5000000"/>
    <n v="2024"/>
  </r>
  <r>
    <s v="E1050"/>
    <s v="Imran"/>
    <s v="Joshi"/>
    <s v="Male"/>
    <x v="4"/>
    <s v="SEO Specialist"/>
    <d v="2023-05-03T00:00:00"/>
    <n v="82500"/>
    <n v="0"/>
    <s v="Average"/>
    <s v="Bangalore"/>
    <s v="Active"/>
    <n v="9621621687"/>
    <s v="Imran Joshi"/>
    <n v="82500"/>
    <n v="3"/>
    <s v="B"/>
    <s v="3-5 yrs"/>
    <s v="David Miller"/>
    <n v="7000000"/>
    <n v="2023"/>
  </r>
  <r>
    <s v="E1051"/>
    <s v="John"/>
    <s v="Khan"/>
    <s v="Male"/>
    <x v="0"/>
    <s v="Recruiter"/>
    <d v="2022-12-13T00:00:00"/>
    <n v="54000"/>
    <n v="5400"/>
    <s v="Good"/>
    <s v="Bangalore"/>
    <s v="Active"/>
    <n v="9689566415"/>
    <s v="John Khan"/>
    <n v="59400"/>
    <n v="3"/>
    <s v="C"/>
    <s v="3-5 yrs"/>
    <s v="Rekha Iyer"/>
    <n v="5000000"/>
    <n v="2022"/>
  </r>
  <r>
    <s v="E1052"/>
    <s v="Priya"/>
    <s v="Khan"/>
    <s v="Female"/>
    <x v="4"/>
    <s v="Marketing Analyst"/>
    <d v="2015-11-10T00:00:00"/>
    <n v="70000"/>
    <n v="7000"/>
    <s v="Poor"/>
    <s v="Chennai"/>
    <s v="Active"/>
    <n v="9325310994"/>
    <s v="Priya Khan"/>
    <n v="77000"/>
    <n v="10"/>
    <s v="B"/>
    <s v="9+ yrs"/>
    <s v="David Miller"/>
    <n v="7000000"/>
    <n v="2015"/>
  </r>
  <r>
    <s v="E1053"/>
    <s v="Vikram"/>
    <s v="Johnson"/>
    <s v="Male"/>
    <x v="3"/>
    <s v="Accountant"/>
    <d v="2019-01-12T00:00:00"/>
    <n v="62000"/>
    <n v="0"/>
    <s v="Average"/>
    <s v="Pune"/>
    <s v="Active"/>
    <n v="9220986608"/>
    <s v="Vikram Johnson"/>
    <n v="62000"/>
    <n v="7"/>
    <s v="B"/>
    <s v="6-8 yrs"/>
    <s v="Suresh Menon"/>
    <n v="8000000"/>
    <n v="2019"/>
  </r>
  <r>
    <s v="E1054"/>
    <s v="Divya"/>
    <s v="Johnson"/>
    <s v="Female"/>
    <x v="1"/>
    <s v="Tech Lead"/>
    <d v="2015-01-15T00:00:00"/>
    <n v="81000"/>
    <n v="4000"/>
    <s v="Average"/>
    <s v="Delhi"/>
    <s v="Active"/>
    <n v="9546871154"/>
    <s v="Divya Johnson"/>
    <n v="85000"/>
    <n v="11"/>
    <s v="B"/>
    <s v="9+ yrs"/>
    <s v="Anil Kumar"/>
    <n v="15000000"/>
    <n v="2015"/>
  </r>
  <r>
    <s v="E1055"/>
    <s v="Mason"/>
    <s v="Sharma"/>
    <s v="Male"/>
    <x v="4"/>
    <s v="SEO Specialist"/>
    <d v="2018-08-22T00:00:00"/>
    <n v="40000"/>
    <n v="0"/>
    <s v="Average"/>
    <s v="Delhi"/>
    <s v="Active"/>
    <n v="9865603224"/>
    <s v="Mason Sharma"/>
    <n v="40000"/>
    <n v="8"/>
    <s v="C"/>
    <s v="6-8 yrs"/>
    <s v="David Miller"/>
    <n v="7000000"/>
    <n v="2018"/>
  </r>
  <r>
    <s v="E1056"/>
    <s v="Pooja"/>
    <s v="Joshi"/>
    <s v="Female"/>
    <x v="1"/>
    <s v="Developer"/>
    <d v="2019-05-18T00:00:00"/>
    <n v="111500"/>
    <n v="11200"/>
    <s v="Excellent"/>
    <s v="Bangalore"/>
    <s v="Resigned"/>
    <n v="9151827478"/>
    <s v="Pooja Joshi"/>
    <n v="122700"/>
    <n v="7"/>
    <s v="A"/>
    <s v="6-8 yrs"/>
    <s v="Anil Kumar"/>
    <n v="15000000"/>
    <n v="2019"/>
  </r>
  <r>
    <s v="E1057"/>
    <s v="Emma"/>
    <s v="Sharma"/>
    <s v="Female"/>
    <x v="2"/>
    <s v="Sales Lead"/>
    <d v="2017-12-24T00:00:00"/>
    <n v="56500"/>
    <n v="2800"/>
    <s v="Good"/>
    <s v="Pune"/>
    <s v="Active"/>
    <n v="9559290527"/>
    <s v="Emma Sharma"/>
    <n v="59300"/>
    <n v="8"/>
    <s v="C"/>
    <s v="6-8 yrs"/>
    <s v="Sunita Rao"/>
    <n v="9000000"/>
    <n v="2017"/>
  </r>
  <r>
    <s v="E1058"/>
    <s v="Liam"/>
    <s v="Taylor"/>
    <s v="Male"/>
    <x v="1"/>
    <s v="Developer"/>
    <d v="2023-03-19T00:00:00"/>
    <n v="66500"/>
    <n v="3300"/>
    <s v="Good"/>
    <s v="Chennai"/>
    <s v="Active"/>
    <n v="9407313843"/>
    <s v="Liam Taylor"/>
    <n v="69800"/>
    <n v="3"/>
    <s v="B"/>
    <s v="3-5 yrs"/>
    <s v="Anil Kumar"/>
    <n v="15000000"/>
    <n v="2023"/>
  </r>
  <r>
    <s v="E1059"/>
    <s v="Vikram"/>
    <s v="Brown"/>
    <s v="Male"/>
    <x v="0"/>
    <s v="HR Manager"/>
    <d v="2018-11-08T00:00:00"/>
    <n v="62000"/>
    <n v="0"/>
    <s v="Good"/>
    <s v="Mumbai"/>
    <s v="Active"/>
    <n v="9379354398"/>
    <s v="Vikram Brown"/>
    <n v="62000"/>
    <n v="7"/>
    <s v="B"/>
    <s v="6-8 yrs"/>
    <s v="Rekha Iyer"/>
    <n v="5000000"/>
    <n v="2018"/>
  </r>
  <r>
    <s v="E1060"/>
    <s v="Meera"/>
    <s v="Taylor"/>
    <s v="Female"/>
    <x v="3"/>
    <s v="Finance Manager"/>
    <d v="2019-06-04T00:00:00"/>
    <n v="89000"/>
    <n v="0"/>
    <s v="Good"/>
    <s v="Mumbai"/>
    <s v="Active"/>
    <n v="9971692124"/>
    <s v="Meera Taylor"/>
    <n v="89000"/>
    <n v="7"/>
    <s v="B"/>
    <s v="6-8 yrs"/>
    <s v="Suresh Menon"/>
    <n v="8000000"/>
    <n v="2019"/>
  </r>
  <r>
    <s v="E1061"/>
    <s v="Mia"/>
    <s v="Smith"/>
    <s v="Female"/>
    <x v="4"/>
    <s v="SEO Specialist"/>
    <d v="2020-01-18T00:00:00"/>
    <n v="90000"/>
    <n v="4500"/>
    <s v="Excellent"/>
    <s v="Bangalore"/>
    <s v="Active"/>
    <s v="No Phone"/>
    <s v="Mia Smith"/>
    <n v="94500"/>
    <n v="6"/>
    <s v="B"/>
    <s v="6-8 yrs"/>
    <s v="David Miller"/>
    <n v="7000000"/>
    <n v="2020"/>
  </r>
  <r>
    <s v="E1062"/>
    <s v="Neha"/>
    <s v="Davis"/>
    <s v="Female"/>
    <x v="4"/>
    <s v="SEO Specialist"/>
    <d v="2024-01-29T00:00:00"/>
    <n v="57000"/>
    <n v="5700"/>
    <s v="Good"/>
    <s v="Chennai"/>
    <s v="Active"/>
    <n v="9511069044"/>
    <s v="Neha Davis"/>
    <n v="62700"/>
    <n v="2"/>
    <s v="C"/>
    <s v="0-2 yrs"/>
    <s v="David Miller"/>
    <n v="7000000"/>
    <n v="2024"/>
  </r>
  <r>
    <s v="E1063"/>
    <s v="Karan"/>
    <s v="Khan"/>
    <s v="Male"/>
    <x v="4"/>
    <s v="Marketing Analyst"/>
    <d v="2023-06-08T00:00:00"/>
    <n v="62000"/>
    <n v="0"/>
    <s v="Good"/>
    <s v="Delhi"/>
    <s v="Active"/>
    <n v="9837395613"/>
    <s v="Karan Khan"/>
    <n v="62000"/>
    <n v="3"/>
    <s v="B"/>
    <s v="3-5 yrs"/>
    <s v="David Miller"/>
    <n v="7000000"/>
    <n v="2023"/>
  </r>
  <r>
    <s v="E1064"/>
    <s v="Karan"/>
    <s v="Reddy"/>
    <s v="Male"/>
    <x v="0"/>
    <s v="HR Executive"/>
    <d v="2020-01-01T00:00:00"/>
    <n v="77500"/>
    <n v="3900"/>
    <s v="Poor"/>
    <s v="Pune"/>
    <s v="Active"/>
    <n v="9123418862"/>
    <s v="Karan Reddy"/>
    <n v="81400"/>
    <n v="6"/>
    <s v="B"/>
    <s v="6-8 yrs"/>
    <s v="Rekha Iyer"/>
    <n v="5000000"/>
    <n v="2020"/>
  </r>
  <r>
    <s v="E1065"/>
    <s v="Riya"/>
    <s v="Wilson"/>
    <s v="Female"/>
    <x v="0"/>
    <s v="HR Executive"/>
    <d v="2015-10-27T00:00:00"/>
    <n v="35000"/>
    <n v="1800"/>
    <s v="Poor"/>
    <s v="Bangalore"/>
    <s v="Resigned"/>
    <n v="9602673754"/>
    <s v="Riya Wilson"/>
    <n v="36800"/>
    <n v="11"/>
    <s v="C"/>
    <s v="9+ yrs"/>
    <s v="Rekha Iyer"/>
    <n v="5000000"/>
    <n v="2015"/>
  </r>
  <r>
    <s v="E1066"/>
    <s v="Vikram"/>
    <s v="Wilson"/>
    <s v="Male"/>
    <x v="2"/>
    <s v="Sales Executive"/>
    <d v="2022-08-25T00:00:00"/>
    <n v="74000"/>
    <n v="0"/>
    <s v="Poor"/>
    <s v="Chennai"/>
    <s v="Active"/>
    <n v="9921198328"/>
    <s v="Vikram Wilson"/>
    <n v="74000"/>
    <n v="4"/>
    <s v="B"/>
    <s v="3-5 yrs"/>
    <s v="Sunita Rao"/>
    <n v="9000000"/>
    <n v="2022"/>
  </r>
  <r>
    <s v="E1067"/>
    <s v="Aarav"/>
    <s v="Joshi"/>
    <s v="Male"/>
    <x v="2"/>
    <s v="Sales Lead"/>
    <d v="2021-05-21T00:00:00"/>
    <n v="55000"/>
    <n v="0"/>
    <s v="Average"/>
    <s v="Hyderabad"/>
    <s v="Active"/>
    <s v="No Phone"/>
    <s v="Aarav Joshi"/>
    <n v="55000"/>
    <n v="5"/>
    <s v="C"/>
    <s v="3-5 yrs"/>
    <s v="Sunita Rao"/>
    <n v="9000000"/>
    <n v="2021"/>
  </r>
  <r>
    <s v="E1068"/>
    <s v="Olivia"/>
    <s v="Sharma"/>
    <s v="Female"/>
    <x v="1"/>
    <s v="Developer"/>
    <d v="2015-10-16T00:00:00"/>
    <n v="73000"/>
    <n v="0"/>
    <s v="Good"/>
    <s v="Chennai"/>
    <s v="Active"/>
    <n v="9340070455"/>
    <s v="Olivia Sharma"/>
    <n v="73000"/>
    <n v="11"/>
    <s v="B"/>
    <s v="9+ yrs"/>
    <s v="Anil Kumar"/>
    <n v="15000000"/>
    <n v="2015"/>
  </r>
  <r>
    <s v="E1069"/>
    <s v="Meera"/>
    <s v="Das"/>
    <s v="Female"/>
    <x v="4"/>
    <s v="Marketing Analyst"/>
    <d v="2022-03-25T00:00:00"/>
    <n v="60500"/>
    <n v="0"/>
    <s v="Good"/>
    <s v="Bangalore"/>
    <s v="Active"/>
    <n v="9542177781"/>
    <s v="Meera Das"/>
    <n v="60500"/>
    <n v="4"/>
    <s v="B"/>
    <s v="3-5 yrs"/>
    <s v="David Miller"/>
    <n v="7000000"/>
    <n v="2022"/>
  </r>
  <r>
    <s v="E1070"/>
    <s v="Amit"/>
    <s v="Smith"/>
    <s v="Male"/>
    <x v="0"/>
    <s v="HR Manager"/>
    <d v="2017-11-19T00:00:00"/>
    <n v="40500"/>
    <n v="0"/>
    <s v="Average"/>
    <s v="Pune"/>
    <s v="Resigned"/>
    <n v="9136611830"/>
    <s v="Amit Smith"/>
    <n v="40500"/>
    <n v="8"/>
    <s v="C"/>
    <s v="6-8 yrs"/>
    <s v="Rekha Iyer"/>
    <n v="5000000"/>
    <n v="2017"/>
  </r>
  <r>
    <s v="E1071"/>
    <s v="Emma"/>
    <s v="Das"/>
    <s v="Female"/>
    <x v="0"/>
    <s v="HR Executive"/>
    <d v="2015-01-28T00:00:00"/>
    <n v="48000"/>
    <n v="0"/>
    <s v="Average"/>
    <s v="Mumbai"/>
    <s v="Active"/>
    <n v="9315192683"/>
    <s v="Emma Das"/>
    <n v="48000"/>
    <n v="11"/>
    <s v="C"/>
    <s v="9+ yrs"/>
    <s v="Rekha Iyer"/>
    <n v="5000000"/>
    <n v="2015"/>
  </r>
  <r>
    <s v="E1072"/>
    <s v="Neha"/>
    <s v="Taylor"/>
    <s v="Female"/>
    <x v="4"/>
    <s v="Content Writer"/>
    <d v="2018-04-23T00:00:00"/>
    <n v="90000"/>
    <n v="0"/>
    <s v="Poor"/>
    <s v="Hyderabad"/>
    <s v="Active"/>
    <n v="9339792468"/>
    <s v="Neha Taylor"/>
    <n v="90000"/>
    <n v="8"/>
    <s v="B"/>
    <s v="6-8 yrs"/>
    <s v="David Miller"/>
    <n v="7000000"/>
    <n v="2018"/>
  </r>
  <r>
    <s v="E1073"/>
    <s v="Nikhil"/>
    <s v="Patel"/>
    <s v="Male"/>
    <x v="2"/>
    <s v="Sales Executive"/>
    <d v="2015-08-11T00:00:00"/>
    <n v="66000"/>
    <n v="0"/>
    <s v="Excellent"/>
    <s v="Pune"/>
    <s v="Active"/>
    <n v="9862204860"/>
    <s v="Nikhil Patel"/>
    <n v="66000"/>
    <n v="11"/>
    <s v="B"/>
    <s v="9+ yrs"/>
    <s v="Sunita Rao"/>
    <n v="9000000"/>
    <n v="2015"/>
  </r>
  <r>
    <s v="E1074"/>
    <s v="Mia"/>
    <s v="Wilson"/>
    <s v="Female"/>
    <x v="4"/>
    <s v="Marketing Analyst"/>
    <d v="2016-04-08T00:00:00"/>
    <n v="88000"/>
    <n v="0"/>
    <s v="Poor"/>
    <s v="Delhi"/>
    <s v="Active"/>
    <n v="9663497104"/>
    <s v="Mia Wilson"/>
    <n v="88000"/>
    <n v="10"/>
    <s v="B"/>
    <s v="9+ yrs"/>
    <s v="David Miller"/>
    <n v="7000000"/>
    <n v="2016"/>
  </r>
  <r>
    <s v="E1075"/>
    <s v="Ava"/>
    <s v="Davis"/>
    <s v="Female"/>
    <x v="4"/>
    <s v="Marketing Analyst"/>
    <d v="2019-12-18T00:00:00"/>
    <n v="61500"/>
    <n v="0"/>
    <s v="Excellent"/>
    <s v="Chennai"/>
    <s v="Active"/>
    <s v="No Phone"/>
    <s v="Ava Davis"/>
    <n v="61500"/>
    <n v="6"/>
    <s v="B"/>
    <s v="6-8 yrs"/>
    <s v="David Miller"/>
    <n v="7000000"/>
    <n v="2019"/>
  </r>
  <r>
    <s v="E1076"/>
    <s v="Karan"/>
    <s v="Taylor"/>
    <s v="Male"/>
    <x v="4"/>
    <s v="Marketing Analyst"/>
    <d v="2024-03-19T00:00:00"/>
    <n v="90500"/>
    <n v="0"/>
    <s v="Average"/>
    <s v="Delhi"/>
    <s v="Active"/>
    <s v="No Phone"/>
    <s v="Karan Taylor"/>
    <n v="90500"/>
    <n v="2"/>
    <s v="B"/>
    <s v="0-2 yrs"/>
    <s v="David Miller"/>
    <n v="7000000"/>
    <n v="2024"/>
  </r>
  <r>
    <s v="E1077"/>
    <s v="Neha"/>
    <s v="Brown"/>
    <s v="Female"/>
    <x v="4"/>
    <s v="Marketing Analyst"/>
    <d v="2023-04-09T00:00:00"/>
    <n v="64000"/>
    <n v="3200"/>
    <s v="Excellent"/>
    <s v="Pune"/>
    <s v="Active"/>
    <n v="9923203499"/>
    <s v="Neha Brown"/>
    <n v="67200"/>
    <n v="3"/>
    <s v="B"/>
    <s v="3-5 yrs"/>
    <s v="David Miller"/>
    <n v="7000000"/>
    <n v="2023"/>
  </r>
  <r>
    <s v="E1078"/>
    <s v="Amit"/>
    <s v="Smith"/>
    <s v="Male"/>
    <x v="1"/>
    <s v="Developer"/>
    <d v="2017-11-18T00:00:00"/>
    <n v="68000"/>
    <n v="0"/>
    <s v="Average"/>
    <s v="Delhi"/>
    <s v="Resigned"/>
    <n v="9392395645"/>
    <s v="Amit Smith"/>
    <n v="68000"/>
    <n v="8"/>
    <s v="B"/>
    <s v="6-8 yrs"/>
    <s v="Anil Kumar"/>
    <n v="15000000"/>
    <n v="2017"/>
  </r>
  <r>
    <s v="E1079"/>
    <s v="Mia"/>
    <s v="Mehta"/>
    <s v="Female"/>
    <x v="4"/>
    <s v="Marketing Analyst"/>
    <d v="2015-01-16T00:00:00"/>
    <n v="59500"/>
    <n v="6000"/>
    <s v="Average"/>
    <s v="Pune"/>
    <s v="Active"/>
    <n v="9126045435"/>
    <s v="Mia Mehta"/>
    <n v="65500"/>
    <n v="11"/>
    <s v="C"/>
    <s v="9+ yrs"/>
    <s v="David Miller"/>
    <n v="7000000"/>
    <n v="2015"/>
  </r>
  <r>
    <s v="E1080"/>
    <s v="Sophia"/>
    <s v="Das"/>
    <s v="Female"/>
    <x v="0"/>
    <s v="HR Manager"/>
    <d v="2019-10-28T00:00:00"/>
    <n v="51500"/>
    <n v="2600"/>
    <s v="Excellent"/>
    <s v="Mumbai"/>
    <s v="Active"/>
    <s v="No Phone"/>
    <s v="Sophia Das"/>
    <n v="54100"/>
    <n v="6"/>
    <s v="C"/>
    <s v="6-8 yrs"/>
    <s v="Rekha Iyer"/>
    <n v="5000000"/>
    <n v="2019"/>
  </r>
  <r>
    <s v="E1081"/>
    <s v="Imran"/>
    <s v="Davis"/>
    <s v="Male"/>
    <x v="4"/>
    <s v="Marketing Analyst"/>
    <d v="2019-01-22T00:00:00"/>
    <n v="70000"/>
    <n v="7000"/>
    <s v="Excellent"/>
    <s v="Hyderabad"/>
    <s v="Active"/>
    <n v="9365544423"/>
    <s v="Imran Davis"/>
    <n v="77000"/>
    <n v="7"/>
    <s v="B"/>
    <s v="6-8 yrs"/>
    <s v="David Miller"/>
    <n v="7000000"/>
    <n v="2019"/>
  </r>
  <r>
    <s v="E1082"/>
    <s v="Amit"/>
    <s v="Singh"/>
    <s v="Male"/>
    <x v="3"/>
    <s v="Accountant"/>
    <d v="2018-08-27T00:00:00"/>
    <n v="80500"/>
    <n v="0"/>
    <s v="Poor"/>
    <s v="Bangalore"/>
    <s v="Resigned"/>
    <n v="9384424887"/>
    <s v="Amit Singh"/>
    <n v="80500"/>
    <n v="8"/>
    <s v="B"/>
    <s v="6-8 yrs"/>
    <s v="Suresh Menon"/>
    <n v="8000000"/>
    <n v="2018"/>
  </r>
  <r>
    <s v="E1083"/>
    <s v="Meera"/>
    <s v="Gupta"/>
    <s v="Female"/>
    <x v="0"/>
    <s v="Recruiter"/>
    <d v="2017-08-17T00:00:00"/>
    <n v="46500"/>
    <n v="0"/>
    <s v="Good"/>
    <s v="Delhi"/>
    <s v="Active"/>
    <n v="9903134235"/>
    <s v="Meera Gupta"/>
    <n v="46500"/>
    <n v="9"/>
    <s v="C"/>
    <s v="9+ yrs"/>
    <s v="Rekha Iyer"/>
    <n v="5000000"/>
    <n v="2017"/>
  </r>
  <r>
    <s v="E1084"/>
    <s v="Riya"/>
    <s v="Das"/>
    <s v="Female"/>
    <x v="4"/>
    <s v="SEO Specialist"/>
    <d v="2017-11-06T00:00:00"/>
    <n v="64500"/>
    <n v="0"/>
    <s v="Good"/>
    <s v="Mumbai"/>
    <s v="Active"/>
    <n v="9264628456"/>
    <s v="Riya Das"/>
    <n v="64500"/>
    <n v="8"/>
    <s v="B"/>
    <s v="6-8 yrs"/>
    <s v="David Miller"/>
    <n v="7000000"/>
    <n v="2017"/>
  </r>
  <r>
    <s v="E1085"/>
    <s v="Sneha"/>
    <s v="Wilson"/>
    <s v="Female"/>
    <x v="0"/>
    <s v="HR Executive"/>
    <d v="2017-10-04T00:00:00"/>
    <n v="51500"/>
    <n v="5200"/>
    <s v="Good"/>
    <s v="Bangalore"/>
    <s v="Active"/>
    <s v="No Phone"/>
    <s v="Sneha Wilson"/>
    <n v="56700"/>
    <n v="9"/>
    <s v="C"/>
    <s v="9+ yrs"/>
    <s v="Rekha Iyer"/>
    <n v="5000000"/>
    <n v="2017"/>
  </r>
  <r>
    <s v="E1086"/>
    <s v="Amit"/>
    <s v="Khan"/>
    <s v="Male"/>
    <x v="2"/>
    <s v="Sales Lead"/>
    <d v="2020-01-11T00:00:00"/>
    <n v="95000"/>
    <n v="0"/>
    <s v="Excellent"/>
    <s v="Chennai"/>
    <s v="Active"/>
    <s v="No Phone"/>
    <s v="Amit Khan"/>
    <n v="95000"/>
    <n v="6"/>
    <s v="B"/>
    <s v="6-8 yrs"/>
    <s v="Sunita Rao"/>
    <n v="9000000"/>
    <n v="2020"/>
  </r>
  <r>
    <s v="E1087"/>
    <s v="Lucas"/>
    <s v="Gupta"/>
    <s v="Male"/>
    <x v="1"/>
    <s v="QA Engineer"/>
    <d v="2020-09-30T00:00:00"/>
    <n v="109000"/>
    <n v="0"/>
    <s v="Good"/>
    <s v="Mumbai"/>
    <s v="Active"/>
    <n v="9106807008"/>
    <s v="Lucas Gupta"/>
    <n v="109000"/>
    <n v="6"/>
    <s v="A"/>
    <s v="6-8 yrs"/>
    <s v="Anil Kumar"/>
    <n v="15000000"/>
    <n v="2020"/>
  </r>
  <r>
    <s v="E1088"/>
    <s v="Imran"/>
    <s v="Sharma"/>
    <s v="Male"/>
    <x v="4"/>
    <s v="Content Writer"/>
    <d v="2015-06-30T00:00:00"/>
    <n v="49500"/>
    <n v="0"/>
    <s v="Poor"/>
    <s v="Pune"/>
    <s v="Active"/>
    <n v="9318443959"/>
    <s v="Imran Sharma"/>
    <n v="49500"/>
    <n v="11"/>
    <s v="C"/>
    <s v="9+ yrs"/>
    <s v="David Miller"/>
    <n v="7000000"/>
    <n v="2015"/>
  </r>
  <r>
    <s v="E1089"/>
    <s v="Ananya"/>
    <s v="Gupta"/>
    <s v="Female"/>
    <x v="3"/>
    <s v="Financial Analyst"/>
    <d v="2015-11-16T00:00:00"/>
    <n v="65500"/>
    <n v="0"/>
    <s v="Excellent"/>
    <s v="Hyderabad"/>
    <s v="Active"/>
    <n v="9538269252"/>
    <s v="Ananya Gupta"/>
    <n v="65500"/>
    <n v="10"/>
    <s v="B"/>
    <s v="9+ yrs"/>
    <s v="Suresh Menon"/>
    <n v="8000000"/>
    <n v="2015"/>
  </r>
  <r>
    <s v="E1090"/>
    <s v="John"/>
    <s v="Das"/>
    <s v="Male"/>
    <x v="3"/>
    <s v="Financial Analyst"/>
    <d v="2022-04-28T00:00:00"/>
    <n v="51000"/>
    <n v="0"/>
    <s v="Good"/>
    <s v="Bangalore"/>
    <s v="Active"/>
    <n v="9817056539"/>
    <s v="John Das"/>
    <n v="51000"/>
    <n v="4"/>
    <s v="C"/>
    <s v="3-5 yrs"/>
    <s v="Suresh Menon"/>
    <n v="8000000"/>
    <n v="2022"/>
  </r>
  <r>
    <s v="E1091"/>
    <s v="Olivia"/>
    <s v="Khan"/>
    <s v="Female"/>
    <x v="3"/>
    <s v="Financial Analyst"/>
    <d v="2019-01-03T00:00:00"/>
    <n v="103000"/>
    <n v="5200"/>
    <s v="Good"/>
    <s v="Hyderabad"/>
    <s v="Resigned"/>
    <n v="9490607273"/>
    <s v="Olivia Khan"/>
    <n v="108200"/>
    <n v="7"/>
    <s v="A"/>
    <s v="6-8 yrs"/>
    <s v="Suresh Menon"/>
    <n v="8000000"/>
    <n v="2019"/>
  </r>
  <r>
    <s v="E1092"/>
    <s v="Neha"/>
    <s v="Wilson"/>
    <s v="Female"/>
    <x v="1"/>
    <s v="Senior Developer"/>
    <d v="2016-10-03T00:00:00"/>
    <n v="117000"/>
    <n v="5800"/>
    <s v="Excellent"/>
    <s v="Mumbai"/>
    <s v="Active"/>
    <n v="9491622763"/>
    <s v="Neha Wilson"/>
    <n v="122800"/>
    <n v="10"/>
    <s v="A"/>
    <s v="9+ yrs"/>
    <s v="Anil Kumar"/>
    <n v="15000000"/>
    <n v="2016"/>
  </r>
  <r>
    <s v="E1093"/>
    <s v="Aarav"/>
    <s v="Nair"/>
    <s v="Male"/>
    <x v="3"/>
    <s v="Accountant"/>
    <d v="2022-03-09T00:00:00"/>
    <n v="54500"/>
    <n v="2700"/>
    <s v="Excellent"/>
    <s v="Delhi"/>
    <s v="Active"/>
    <n v="9641663093"/>
    <s v="Aarav Nair"/>
    <n v="57200"/>
    <n v="4"/>
    <s v="C"/>
    <s v="3-5 yrs"/>
    <s v="Suresh Menon"/>
    <n v="8000000"/>
    <n v="2022"/>
  </r>
  <r>
    <s v="E1094"/>
    <s v="Ananya"/>
    <s v="Khan"/>
    <s v="Female"/>
    <x v="3"/>
    <s v="Financial Analyst"/>
    <d v="2015-10-02T00:00:00"/>
    <n v="56500"/>
    <n v="0"/>
    <s v="Good"/>
    <s v="Mumbai"/>
    <s v="Active"/>
    <n v="9964050516"/>
    <s v="Ananya Khan"/>
    <n v="56500"/>
    <n v="11"/>
    <s v="C"/>
    <s v="9+ yrs"/>
    <s v="Suresh Menon"/>
    <n v="8000000"/>
    <n v="2015"/>
  </r>
  <r>
    <s v="E1095"/>
    <s v="Lucas"/>
    <s v="Nair"/>
    <s v="Male"/>
    <x v="0"/>
    <s v="HR Manager"/>
    <d v="2015-08-07T00:00:00"/>
    <n v="55500"/>
    <n v="5600"/>
    <s v="Poor"/>
    <s v="Mumbai"/>
    <s v="Active"/>
    <n v="9766088191"/>
    <s v="Lucas Nair"/>
    <n v="61100"/>
    <n v="11"/>
    <s v="C"/>
    <s v="9+ yrs"/>
    <s v="Rekha Iyer"/>
    <n v="5000000"/>
    <n v="2015"/>
  </r>
  <r>
    <s v="E1096"/>
    <s v="Riya"/>
    <s v="Brown"/>
    <s v="Female"/>
    <x v="2"/>
    <s v="Account Manager"/>
    <d v="2020-04-21T00:00:00"/>
    <n v="94500"/>
    <n v="0"/>
    <s v="Good"/>
    <s v="Bangalore"/>
    <s v="Active"/>
    <n v="9268017943"/>
    <s v="Riya Brown"/>
    <n v="94500"/>
    <n v="6"/>
    <s v="B"/>
    <s v="6-8 yrs"/>
    <s v="Sunita Rao"/>
    <n v="9000000"/>
    <n v="2020"/>
  </r>
  <r>
    <s v="E1097"/>
    <s v="Rohan"/>
    <s v="Das"/>
    <s v="Male"/>
    <x v="2"/>
    <s v="Sales Lead"/>
    <d v="2021-04-22T00:00:00"/>
    <n v="42500"/>
    <n v="0"/>
    <s v="Average"/>
    <s v="Pune"/>
    <s v="Active"/>
    <n v="9589340112"/>
    <s v="Rohan Das"/>
    <n v="42500"/>
    <n v="5"/>
    <s v="C"/>
    <s v="3-5 yrs"/>
    <s v="Sunita Rao"/>
    <n v="9000000"/>
    <n v="2021"/>
  </r>
  <r>
    <s v="E1098"/>
    <s v="Riya"/>
    <s v="Taylor"/>
    <s v="Female"/>
    <x v="2"/>
    <s v="Account Manager"/>
    <d v="2019-05-14T00:00:00"/>
    <n v="68000"/>
    <n v="0"/>
    <s v="Good"/>
    <s v="Mumbai"/>
    <s v="Active"/>
    <s v="No Phone"/>
    <s v="Riya Taylor"/>
    <n v="68000"/>
    <n v="7"/>
    <s v="B"/>
    <s v="6-8 yrs"/>
    <s v="Sunita Rao"/>
    <n v="9000000"/>
    <n v="2019"/>
  </r>
  <r>
    <s v="E1099"/>
    <s v="Sophia"/>
    <s v="Reddy"/>
    <s v="Female"/>
    <x v="3"/>
    <s v="Financial Analyst"/>
    <d v="2024-03-08T00:00:00"/>
    <n v="96000"/>
    <n v="4800"/>
    <s v="Average"/>
    <s v="Pune"/>
    <s v="Active"/>
    <n v="9172070263"/>
    <s v="Sophia Reddy"/>
    <n v="100800"/>
    <n v="2"/>
    <s v="B"/>
    <s v="0-2 yrs"/>
    <s v="Suresh Menon"/>
    <n v="8000000"/>
    <n v="2024"/>
  </r>
  <r>
    <s v="E1100"/>
    <s v="Sneha"/>
    <s v="Singh"/>
    <s v="Female"/>
    <x v="0"/>
    <s v="HR Executive"/>
    <d v="2020-09-20T00:00:00"/>
    <n v="68000"/>
    <n v="0"/>
    <s v="Excellent"/>
    <s v="Chennai"/>
    <s v="Active"/>
    <n v="9436860564"/>
    <s v="Sneha Singh"/>
    <n v="68000"/>
    <n v="6"/>
    <s v="B"/>
    <s v="6-8 yrs"/>
    <s v="Rekha Iyer"/>
    <n v="5000000"/>
    <n v="20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Ananya"/>
    <x v="0"/>
    <x v="0"/>
    <x v="0"/>
    <x v="0"/>
    <x v="0"/>
    <n v="77500"/>
    <x v="0"/>
    <x v="0"/>
    <x v="0"/>
    <x v="0"/>
    <s v="9644854973"/>
    <s v="Ananya Khan"/>
    <x v="0"/>
    <n v="11"/>
    <x v="0"/>
  </r>
  <r>
    <x v="1"/>
    <s v="Divya"/>
    <x v="1"/>
    <x v="0"/>
    <x v="1"/>
    <x v="1"/>
    <x v="1"/>
    <n v="91500"/>
    <x v="1"/>
    <x v="1"/>
    <x v="1"/>
    <x v="0"/>
    <s v="no phone"/>
    <s v="Divya Mehta"/>
    <x v="1"/>
    <n v="10"/>
    <x v="0"/>
  </r>
  <r>
    <x v="2"/>
    <s v="Priya"/>
    <x v="2"/>
    <x v="0"/>
    <x v="2"/>
    <x v="2"/>
    <x v="2"/>
    <n v="43000"/>
    <x v="0"/>
    <x v="1"/>
    <x v="2"/>
    <x v="0"/>
    <s v="no phone"/>
    <s v="Priya Das"/>
    <x v="2"/>
    <n v="5"/>
    <x v="1"/>
  </r>
  <r>
    <x v="3"/>
    <s v="Rahul"/>
    <x v="3"/>
    <x v="1"/>
    <x v="3"/>
    <x v="3"/>
    <x v="3"/>
    <n v="82500"/>
    <x v="0"/>
    <x v="1"/>
    <x v="3"/>
    <x v="0"/>
    <s v="no phone"/>
    <s v="Rahul Patel"/>
    <x v="3"/>
    <n v="4"/>
    <x v="0"/>
  </r>
  <r>
    <x v="4"/>
    <s v="Emma"/>
    <x v="4"/>
    <x v="0"/>
    <x v="3"/>
    <x v="3"/>
    <x v="4"/>
    <n v="73000"/>
    <x v="0"/>
    <x v="1"/>
    <x v="3"/>
    <x v="1"/>
    <s v="9366746013"/>
    <s v="Emma Nair"/>
    <x v="4"/>
    <n v="3"/>
    <x v="0"/>
  </r>
  <r>
    <x v="5"/>
    <s v="Nikhil"/>
    <x v="5"/>
    <x v="1"/>
    <x v="4"/>
    <x v="4"/>
    <x v="5"/>
    <n v="74500"/>
    <x v="0"/>
    <x v="0"/>
    <x v="4"/>
    <x v="0"/>
    <s v="9226772164"/>
    <s v="Nikhil Davis"/>
    <x v="5"/>
    <n v="6"/>
    <x v="0"/>
  </r>
  <r>
    <x v="6"/>
    <s v="Lucas"/>
    <x v="6"/>
    <x v="1"/>
    <x v="0"/>
    <x v="5"/>
    <x v="6"/>
    <n v="62500"/>
    <x v="0"/>
    <x v="0"/>
    <x v="4"/>
    <x v="0"/>
    <s v="9436883827"/>
    <s v="Lucas Smith"/>
    <x v="6"/>
    <n v="11"/>
    <x v="0"/>
  </r>
  <r>
    <x v="7"/>
    <s v="Riya"/>
    <x v="2"/>
    <x v="0"/>
    <x v="0"/>
    <x v="5"/>
    <x v="7"/>
    <n v="39500"/>
    <x v="0"/>
    <x v="2"/>
    <x v="1"/>
    <x v="0"/>
    <s v="9165143298"/>
    <s v="Riya Das"/>
    <x v="7"/>
    <n v="2"/>
    <x v="1"/>
  </r>
  <r>
    <x v="8"/>
    <s v="Kavya"/>
    <x v="3"/>
    <x v="0"/>
    <x v="0"/>
    <x v="0"/>
    <x v="8"/>
    <n v="79000"/>
    <x v="2"/>
    <x v="2"/>
    <x v="4"/>
    <x v="0"/>
    <s v="9630098818"/>
    <s v="Kavya Patel"/>
    <x v="8"/>
    <n v="7"/>
    <x v="0"/>
  </r>
  <r>
    <x v="9"/>
    <s v="Liam"/>
    <x v="5"/>
    <x v="1"/>
    <x v="2"/>
    <x v="2"/>
    <x v="9"/>
    <n v="66000"/>
    <x v="3"/>
    <x v="3"/>
    <x v="4"/>
    <x v="0"/>
    <s v="9247023327"/>
    <s v="Liam Davis"/>
    <x v="9"/>
    <n v="7"/>
    <x v="0"/>
  </r>
  <r>
    <x v="10"/>
    <s v="Pooja"/>
    <x v="4"/>
    <x v="0"/>
    <x v="0"/>
    <x v="6"/>
    <x v="10"/>
    <n v="50000"/>
    <x v="0"/>
    <x v="1"/>
    <x v="4"/>
    <x v="0"/>
    <s v="9620724767"/>
    <s v="Pooja Nair"/>
    <x v="10"/>
    <n v="10"/>
    <x v="1"/>
  </r>
  <r>
    <x v="11"/>
    <s v="Vikram"/>
    <x v="3"/>
    <x v="1"/>
    <x v="0"/>
    <x v="6"/>
    <x v="11"/>
    <n v="70000"/>
    <x v="4"/>
    <x v="1"/>
    <x v="2"/>
    <x v="2"/>
    <s v="9653504709"/>
    <s v="Vikram Patel"/>
    <x v="11"/>
    <n v="7"/>
    <x v="0"/>
  </r>
  <r>
    <x v="12"/>
    <s v="Divya"/>
    <x v="0"/>
    <x v="0"/>
    <x v="0"/>
    <x v="6"/>
    <x v="12"/>
    <n v="61000"/>
    <x v="5"/>
    <x v="0"/>
    <x v="3"/>
    <x v="0"/>
    <s v="no phone"/>
    <s v="Divya Khan"/>
    <x v="12"/>
    <n v="10"/>
    <x v="0"/>
  </r>
  <r>
    <x v="13"/>
    <s v="Imran"/>
    <x v="7"/>
    <x v="1"/>
    <x v="3"/>
    <x v="7"/>
    <x v="13"/>
    <n v="48500"/>
    <x v="0"/>
    <x v="1"/>
    <x v="3"/>
    <x v="0"/>
    <s v="9758995368"/>
    <s v="Imran Sharma"/>
    <x v="13"/>
    <n v="10"/>
    <x v="1"/>
  </r>
  <r>
    <x v="14"/>
    <s v="Ananya"/>
    <x v="8"/>
    <x v="0"/>
    <x v="4"/>
    <x v="8"/>
    <x v="14"/>
    <n v="63000"/>
    <x v="0"/>
    <x v="1"/>
    <x v="4"/>
    <x v="0"/>
    <s v="9600352373"/>
    <s v="Ananya Taylor"/>
    <x v="14"/>
    <n v="5"/>
    <x v="0"/>
  </r>
  <r>
    <x v="15"/>
    <s v="Vikram"/>
    <x v="9"/>
    <x v="1"/>
    <x v="1"/>
    <x v="9"/>
    <x v="15"/>
    <n v="105000"/>
    <x v="0"/>
    <x v="1"/>
    <x v="2"/>
    <x v="0"/>
    <s v="9320347933"/>
    <s v="Vikram Johnson"/>
    <x v="15"/>
    <n v="3"/>
    <x v="2"/>
  </r>
  <r>
    <x v="16"/>
    <s v="Noah"/>
    <x v="9"/>
    <x v="1"/>
    <x v="3"/>
    <x v="7"/>
    <x v="16"/>
    <n v="64500"/>
    <x v="0"/>
    <x v="0"/>
    <x v="1"/>
    <x v="0"/>
    <s v="9279360017"/>
    <s v="Noah Johnson"/>
    <x v="16"/>
    <n v="4"/>
    <x v="0"/>
  </r>
  <r>
    <x v="17"/>
    <s v="Emma"/>
    <x v="0"/>
    <x v="0"/>
    <x v="2"/>
    <x v="2"/>
    <x v="17"/>
    <n v="80000"/>
    <x v="0"/>
    <x v="0"/>
    <x v="5"/>
    <x v="0"/>
    <s v="9343459673"/>
    <s v="Emma Khan"/>
    <x v="17"/>
    <n v="2"/>
    <x v="0"/>
  </r>
  <r>
    <x v="18"/>
    <s v="Olivia"/>
    <x v="10"/>
    <x v="0"/>
    <x v="1"/>
    <x v="10"/>
    <x v="18"/>
    <n v="63500"/>
    <x v="0"/>
    <x v="1"/>
    <x v="4"/>
    <x v="0"/>
    <s v="9469668829"/>
    <s v="Olivia Wilson"/>
    <x v="18"/>
    <n v="2"/>
    <x v="0"/>
  </r>
  <r>
    <x v="19"/>
    <s v="Rohan"/>
    <x v="7"/>
    <x v="1"/>
    <x v="1"/>
    <x v="11"/>
    <x v="19"/>
    <n v="89500"/>
    <x v="0"/>
    <x v="1"/>
    <x v="2"/>
    <x v="0"/>
    <s v="9755263987"/>
    <s v="Rohan Sharma"/>
    <x v="19"/>
    <n v="6"/>
    <x v="0"/>
  </r>
  <r>
    <x v="20"/>
    <s v="Sophia"/>
    <x v="5"/>
    <x v="0"/>
    <x v="1"/>
    <x v="10"/>
    <x v="20"/>
    <n v="146500"/>
    <x v="6"/>
    <x v="0"/>
    <x v="0"/>
    <x v="0"/>
    <s v="9291686239"/>
    <s v="Sophia Davis"/>
    <x v="20"/>
    <n v="10"/>
    <x v="2"/>
  </r>
  <r>
    <x v="21"/>
    <s v="Meera"/>
    <x v="11"/>
    <x v="0"/>
    <x v="0"/>
    <x v="5"/>
    <x v="21"/>
    <n v="40500"/>
    <x v="0"/>
    <x v="1"/>
    <x v="1"/>
    <x v="0"/>
    <s v="9599669927"/>
    <s v="Meera Reddy"/>
    <x v="21"/>
    <n v="3"/>
    <x v="1"/>
  </r>
  <r>
    <x v="22"/>
    <s v="Emma"/>
    <x v="12"/>
    <x v="0"/>
    <x v="4"/>
    <x v="12"/>
    <x v="22"/>
    <n v="50000"/>
    <x v="7"/>
    <x v="3"/>
    <x v="2"/>
    <x v="0"/>
    <s v="9797582865"/>
    <s v="Emma Gupta"/>
    <x v="22"/>
    <n v="5"/>
    <x v="1"/>
  </r>
  <r>
    <x v="23"/>
    <s v="Karan"/>
    <x v="6"/>
    <x v="1"/>
    <x v="2"/>
    <x v="13"/>
    <x v="23"/>
    <n v="94000"/>
    <x v="0"/>
    <x v="3"/>
    <x v="1"/>
    <x v="0"/>
    <s v="9919994920"/>
    <s v="Karan Smith"/>
    <x v="23"/>
    <n v="2"/>
    <x v="0"/>
  </r>
  <r>
    <x v="24"/>
    <s v="Ava"/>
    <x v="5"/>
    <x v="0"/>
    <x v="2"/>
    <x v="2"/>
    <x v="24"/>
    <n v="44000"/>
    <x v="0"/>
    <x v="0"/>
    <x v="3"/>
    <x v="0"/>
    <s v="9654867725"/>
    <s v="Ava Davis"/>
    <x v="24"/>
    <n v="3"/>
    <x v="1"/>
  </r>
  <r>
    <x v="25"/>
    <s v="Sanjay"/>
    <x v="4"/>
    <x v="1"/>
    <x v="3"/>
    <x v="7"/>
    <x v="25"/>
    <n v="46000"/>
    <x v="8"/>
    <x v="0"/>
    <x v="5"/>
    <x v="0"/>
    <s v="9260849193"/>
    <s v="Sanjay Nair"/>
    <x v="25"/>
    <n v="2"/>
    <x v="1"/>
  </r>
  <r>
    <x v="26"/>
    <s v="Sanjay"/>
    <x v="3"/>
    <x v="1"/>
    <x v="1"/>
    <x v="9"/>
    <x v="26"/>
    <n v="102500"/>
    <x v="9"/>
    <x v="1"/>
    <x v="3"/>
    <x v="0"/>
    <s v="9701613399"/>
    <s v="Sanjay Patel"/>
    <x v="26"/>
    <n v="4"/>
    <x v="2"/>
  </r>
  <r>
    <x v="27"/>
    <s v="Priya"/>
    <x v="6"/>
    <x v="0"/>
    <x v="1"/>
    <x v="9"/>
    <x v="27"/>
    <n v="126500"/>
    <x v="10"/>
    <x v="3"/>
    <x v="2"/>
    <x v="1"/>
    <s v="no phone"/>
    <s v="Priya Smith"/>
    <x v="27"/>
    <n v="6"/>
    <x v="2"/>
  </r>
  <r>
    <x v="28"/>
    <s v="Meera"/>
    <x v="0"/>
    <x v="0"/>
    <x v="3"/>
    <x v="14"/>
    <x v="28"/>
    <n v="80000"/>
    <x v="11"/>
    <x v="1"/>
    <x v="3"/>
    <x v="0"/>
    <s v="9378735098"/>
    <s v="Meera Khan"/>
    <x v="28"/>
    <n v="2"/>
    <x v="0"/>
  </r>
  <r>
    <x v="29"/>
    <s v="Sneha"/>
    <x v="12"/>
    <x v="0"/>
    <x v="0"/>
    <x v="0"/>
    <x v="29"/>
    <n v="64000"/>
    <x v="0"/>
    <x v="0"/>
    <x v="2"/>
    <x v="0"/>
    <s v="9425107627"/>
    <s v="Sneha Gupta"/>
    <x v="12"/>
    <n v="8"/>
    <x v="0"/>
  </r>
  <r>
    <x v="30"/>
    <s v="Ananya"/>
    <x v="1"/>
    <x v="0"/>
    <x v="4"/>
    <x v="4"/>
    <x v="30"/>
    <n v="49000"/>
    <x v="0"/>
    <x v="0"/>
    <x v="2"/>
    <x v="0"/>
    <s v="9274799977"/>
    <s v="Ananya Mehta"/>
    <x v="29"/>
    <n v="6"/>
    <x v="1"/>
  </r>
  <r>
    <x v="31"/>
    <s v="Isha"/>
    <x v="10"/>
    <x v="0"/>
    <x v="0"/>
    <x v="6"/>
    <x v="31"/>
    <n v="57000"/>
    <x v="0"/>
    <x v="1"/>
    <x v="2"/>
    <x v="0"/>
    <s v="9462902921"/>
    <s v="Isha Wilson"/>
    <x v="30"/>
    <n v="7"/>
    <x v="1"/>
  </r>
  <r>
    <x v="32"/>
    <s v="Karan"/>
    <x v="1"/>
    <x v="1"/>
    <x v="4"/>
    <x v="4"/>
    <x v="32"/>
    <n v="74000"/>
    <x v="0"/>
    <x v="1"/>
    <x v="0"/>
    <x v="0"/>
    <s v="9946498388"/>
    <s v="Karan Mehta"/>
    <x v="31"/>
    <n v="4"/>
    <x v="0"/>
  </r>
  <r>
    <x v="33"/>
    <s v="Kavya"/>
    <x v="13"/>
    <x v="0"/>
    <x v="1"/>
    <x v="9"/>
    <x v="33"/>
    <n v="84000"/>
    <x v="0"/>
    <x v="0"/>
    <x v="1"/>
    <x v="0"/>
    <s v="9377679317"/>
    <s v="Kavya Brown"/>
    <x v="28"/>
    <n v="8"/>
    <x v="0"/>
  </r>
  <r>
    <x v="34"/>
    <s v="Olivia"/>
    <x v="7"/>
    <x v="0"/>
    <x v="4"/>
    <x v="12"/>
    <x v="34"/>
    <n v="46000"/>
    <x v="0"/>
    <x v="0"/>
    <x v="0"/>
    <x v="0"/>
    <s v="9388754324"/>
    <s v="Olivia Sharma"/>
    <x v="32"/>
    <n v="8"/>
    <x v="1"/>
  </r>
  <r>
    <x v="35"/>
    <s v="Sneha"/>
    <x v="5"/>
    <x v="0"/>
    <x v="3"/>
    <x v="14"/>
    <x v="35"/>
    <n v="101000"/>
    <x v="0"/>
    <x v="1"/>
    <x v="1"/>
    <x v="0"/>
    <s v="no phone"/>
    <s v="Sneha Davis"/>
    <x v="33"/>
    <n v="9"/>
    <x v="2"/>
  </r>
  <r>
    <x v="36"/>
    <s v="Aarav"/>
    <x v="2"/>
    <x v="1"/>
    <x v="3"/>
    <x v="3"/>
    <x v="36"/>
    <n v="91500"/>
    <x v="0"/>
    <x v="2"/>
    <x v="3"/>
    <x v="0"/>
    <s v="9434999291"/>
    <s v="Aarav Das"/>
    <x v="34"/>
    <n v="9"/>
    <x v="0"/>
  </r>
  <r>
    <x v="37"/>
    <s v="Meera"/>
    <x v="7"/>
    <x v="0"/>
    <x v="3"/>
    <x v="3"/>
    <x v="37"/>
    <n v="89000"/>
    <x v="0"/>
    <x v="1"/>
    <x v="1"/>
    <x v="0"/>
    <s v="9116477768"/>
    <s v="Meera Sharma"/>
    <x v="35"/>
    <n v="9"/>
    <x v="0"/>
  </r>
  <r>
    <x v="38"/>
    <s v="Sanjay"/>
    <x v="13"/>
    <x v="1"/>
    <x v="0"/>
    <x v="5"/>
    <x v="38"/>
    <n v="51000"/>
    <x v="0"/>
    <x v="0"/>
    <x v="4"/>
    <x v="0"/>
    <s v="9686162372"/>
    <s v="Sanjay Brown"/>
    <x v="36"/>
    <n v="6"/>
    <x v="1"/>
  </r>
  <r>
    <x v="39"/>
    <s v="Rohan"/>
    <x v="11"/>
    <x v="1"/>
    <x v="4"/>
    <x v="4"/>
    <x v="39"/>
    <n v="53000"/>
    <x v="0"/>
    <x v="1"/>
    <x v="0"/>
    <x v="0"/>
    <s v="no phone"/>
    <s v="Rohan Reddy"/>
    <x v="37"/>
    <n v="2"/>
    <x v="1"/>
  </r>
  <r>
    <x v="40"/>
    <s v="Divya"/>
    <x v="2"/>
    <x v="0"/>
    <x v="2"/>
    <x v="15"/>
    <x v="40"/>
    <n v="43500"/>
    <x v="12"/>
    <x v="0"/>
    <x v="5"/>
    <x v="0"/>
    <s v="9360074153"/>
    <s v="Divya Das"/>
    <x v="38"/>
    <n v="10"/>
    <x v="1"/>
  </r>
  <r>
    <x v="41"/>
    <s v="Vikram"/>
    <x v="1"/>
    <x v="1"/>
    <x v="4"/>
    <x v="4"/>
    <x v="41"/>
    <n v="69000"/>
    <x v="0"/>
    <x v="1"/>
    <x v="4"/>
    <x v="0"/>
    <s v="9447391878"/>
    <s v="Vikram Mehta"/>
    <x v="39"/>
    <n v="11"/>
    <x v="0"/>
  </r>
  <r>
    <x v="42"/>
    <s v="Imran"/>
    <x v="7"/>
    <x v="1"/>
    <x v="2"/>
    <x v="15"/>
    <x v="42"/>
    <n v="40000"/>
    <x v="13"/>
    <x v="3"/>
    <x v="4"/>
    <x v="0"/>
    <s v="9366480598"/>
    <s v="Imran Sharma"/>
    <x v="40"/>
    <n v="8"/>
    <x v="1"/>
  </r>
  <r>
    <x v="43"/>
    <s v="Vikram"/>
    <x v="11"/>
    <x v="1"/>
    <x v="0"/>
    <x v="5"/>
    <x v="43"/>
    <n v="73500"/>
    <x v="14"/>
    <x v="3"/>
    <x v="2"/>
    <x v="0"/>
    <s v="9728765263"/>
    <s v="Vikram Reddy"/>
    <x v="41"/>
    <n v="11"/>
    <x v="0"/>
  </r>
  <r>
    <x v="44"/>
    <s v="Sophia"/>
    <x v="5"/>
    <x v="0"/>
    <x v="4"/>
    <x v="12"/>
    <x v="44"/>
    <n v="87000"/>
    <x v="0"/>
    <x v="1"/>
    <x v="2"/>
    <x v="0"/>
    <s v="no phone"/>
    <s v="Sophia Davis"/>
    <x v="42"/>
    <n v="6"/>
    <x v="0"/>
  </r>
  <r>
    <x v="45"/>
    <s v="Lucas"/>
    <x v="1"/>
    <x v="1"/>
    <x v="3"/>
    <x v="7"/>
    <x v="45"/>
    <n v="94500"/>
    <x v="15"/>
    <x v="0"/>
    <x v="0"/>
    <x v="0"/>
    <s v="9727131272"/>
    <s v="Lucas Mehta"/>
    <x v="43"/>
    <n v="6"/>
    <x v="0"/>
  </r>
  <r>
    <x v="46"/>
    <s v="Vikram"/>
    <x v="1"/>
    <x v="1"/>
    <x v="4"/>
    <x v="8"/>
    <x v="46"/>
    <n v="47000"/>
    <x v="16"/>
    <x v="1"/>
    <x v="4"/>
    <x v="0"/>
    <s v="9830857592"/>
    <s v="Vikram Mehta"/>
    <x v="44"/>
    <n v="7"/>
    <x v="1"/>
  </r>
  <r>
    <x v="47"/>
    <s v="Amit"/>
    <x v="14"/>
    <x v="1"/>
    <x v="1"/>
    <x v="10"/>
    <x v="47"/>
    <n v="126000"/>
    <x v="0"/>
    <x v="0"/>
    <x v="3"/>
    <x v="0"/>
    <s v="9370790737"/>
    <s v="Amit Singh"/>
    <x v="45"/>
    <n v="5"/>
    <x v="2"/>
  </r>
  <r>
    <x v="48"/>
    <s v="Rohan"/>
    <x v="0"/>
    <x v="1"/>
    <x v="0"/>
    <x v="0"/>
    <x v="48"/>
    <n v="67500"/>
    <x v="17"/>
    <x v="3"/>
    <x v="1"/>
    <x v="1"/>
    <s v="9150194735"/>
    <s v="Rohan Khan"/>
    <x v="46"/>
    <n v="2"/>
    <x v="0"/>
  </r>
  <r>
    <x v="49"/>
    <s v="Imran"/>
    <x v="15"/>
    <x v="1"/>
    <x v="4"/>
    <x v="12"/>
    <x v="49"/>
    <n v="82500"/>
    <x v="0"/>
    <x v="0"/>
    <x v="0"/>
    <x v="0"/>
    <s v="9621621687"/>
    <s v="Imran Joshi"/>
    <x v="3"/>
    <n v="3"/>
    <x v="0"/>
  </r>
  <r>
    <x v="50"/>
    <s v="John"/>
    <x v="0"/>
    <x v="1"/>
    <x v="0"/>
    <x v="6"/>
    <x v="50"/>
    <n v="54000"/>
    <x v="18"/>
    <x v="1"/>
    <x v="0"/>
    <x v="0"/>
    <s v="9689566415"/>
    <s v="John Khan"/>
    <x v="47"/>
    <n v="3"/>
    <x v="1"/>
  </r>
  <r>
    <x v="51"/>
    <s v="Priya"/>
    <x v="0"/>
    <x v="0"/>
    <x v="4"/>
    <x v="4"/>
    <x v="51"/>
    <n v="70000"/>
    <x v="4"/>
    <x v="2"/>
    <x v="1"/>
    <x v="0"/>
    <s v="9325310994"/>
    <s v="Priya Khan"/>
    <x v="11"/>
    <n v="10"/>
    <x v="0"/>
  </r>
  <r>
    <x v="52"/>
    <s v="Vikram"/>
    <x v="9"/>
    <x v="1"/>
    <x v="3"/>
    <x v="7"/>
    <x v="52"/>
    <n v="62000"/>
    <x v="0"/>
    <x v="0"/>
    <x v="5"/>
    <x v="0"/>
    <s v="9220986608"/>
    <s v="Vikram Johnson"/>
    <x v="48"/>
    <n v="7"/>
    <x v="0"/>
  </r>
  <r>
    <x v="53"/>
    <s v="Divya"/>
    <x v="9"/>
    <x v="0"/>
    <x v="1"/>
    <x v="11"/>
    <x v="41"/>
    <n v="81000"/>
    <x v="11"/>
    <x v="0"/>
    <x v="4"/>
    <x v="0"/>
    <s v="9546871154"/>
    <s v="Divya Johnson"/>
    <x v="49"/>
    <n v="11"/>
    <x v="0"/>
  </r>
  <r>
    <x v="54"/>
    <s v="Mason"/>
    <x v="7"/>
    <x v="1"/>
    <x v="4"/>
    <x v="12"/>
    <x v="53"/>
    <n v="40000"/>
    <x v="0"/>
    <x v="0"/>
    <x v="4"/>
    <x v="0"/>
    <s v="9865603224"/>
    <s v="Mason Sharma"/>
    <x v="50"/>
    <n v="8"/>
    <x v="1"/>
  </r>
  <r>
    <x v="55"/>
    <s v="Pooja"/>
    <x v="15"/>
    <x v="0"/>
    <x v="1"/>
    <x v="1"/>
    <x v="54"/>
    <n v="111500"/>
    <x v="19"/>
    <x v="3"/>
    <x v="0"/>
    <x v="1"/>
    <s v="9151827478"/>
    <s v="Pooja Joshi"/>
    <x v="51"/>
    <n v="7"/>
    <x v="2"/>
  </r>
  <r>
    <x v="56"/>
    <s v="Emma"/>
    <x v="7"/>
    <x v="0"/>
    <x v="2"/>
    <x v="2"/>
    <x v="55"/>
    <n v="56500"/>
    <x v="20"/>
    <x v="1"/>
    <x v="5"/>
    <x v="0"/>
    <s v="9559290527"/>
    <s v="Emma Sharma"/>
    <x v="52"/>
    <n v="8"/>
    <x v="1"/>
  </r>
  <r>
    <x v="57"/>
    <s v="Liam"/>
    <x v="8"/>
    <x v="1"/>
    <x v="1"/>
    <x v="1"/>
    <x v="56"/>
    <n v="66500"/>
    <x v="3"/>
    <x v="1"/>
    <x v="1"/>
    <x v="0"/>
    <s v="9407313843"/>
    <s v="Liam Taylor"/>
    <x v="53"/>
    <n v="3"/>
    <x v="0"/>
  </r>
  <r>
    <x v="58"/>
    <s v="Vikram"/>
    <x v="13"/>
    <x v="1"/>
    <x v="0"/>
    <x v="5"/>
    <x v="57"/>
    <n v="62000"/>
    <x v="0"/>
    <x v="1"/>
    <x v="3"/>
    <x v="0"/>
    <s v="9379354398"/>
    <s v="Vikram Brown"/>
    <x v="48"/>
    <n v="7"/>
    <x v="0"/>
  </r>
  <r>
    <x v="59"/>
    <s v="Meera"/>
    <x v="8"/>
    <x v="0"/>
    <x v="3"/>
    <x v="3"/>
    <x v="58"/>
    <n v="89000"/>
    <x v="0"/>
    <x v="1"/>
    <x v="3"/>
    <x v="0"/>
    <s v="9971692124"/>
    <s v="Meera Taylor"/>
    <x v="35"/>
    <n v="7"/>
    <x v="0"/>
  </r>
  <r>
    <x v="60"/>
    <s v="Mia"/>
    <x v="6"/>
    <x v="0"/>
    <x v="4"/>
    <x v="12"/>
    <x v="59"/>
    <n v="90000"/>
    <x v="21"/>
    <x v="3"/>
    <x v="0"/>
    <x v="0"/>
    <s v="no phone"/>
    <s v="Mia Smith"/>
    <x v="54"/>
    <n v="6"/>
    <x v="0"/>
  </r>
  <r>
    <x v="61"/>
    <s v="Neha"/>
    <x v="5"/>
    <x v="0"/>
    <x v="4"/>
    <x v="12"/>
    <x v="60"/>
    <n v="57000"/>
    <x v="22"/>
    <x v="1"/>
    <x v="1"/>
    <x v="0"/>
    <s v="9511069044"/>
    <s v="Neha Davis"/>
    <x v="55"/>
    <n v="2"/>
    <x v="1"/>
  </r>
  <r>
    <x v="62"/>
    <s v="Karan"/>
    <x v="0"/>
    <x v="1"/>
    <x v="4"/>
    <x v="4"/>
    <x v="61"/>
    <n v="62000"/>
    <x v="0"/>
    <x v="1"/>
    <x v="4"/>
    <x v="0"/>
    <s v="9837395613"/>
    <s v="Karan Khan"/>
    <x v="48"/>
    <n v="3"/>
    <x v="0"/>
  </r>
  <r>
    <x v="63"/>
    <s v="Karan"/>
    <x v="11"/>
    <x v="1"/>
    <x v="0"/>
    <x v="0"/>
    <x v="62"/>
    <n v="77500"/>
    <x v="23"/>
    <x v="2"/>
    <x v="5"/>
    <x v="0"/>
    <s v="9123418862"/>
    <s v="Karan Reddy"/>
    <x v="56"/>
    <n v="6"/>
    <x v="0"/>
  </r>
  <r>
    <x v="64"/>
    <s v="Riya"/>
    <x v="10"/>
    <x v="0"/>
    <x v="0"/>
    <x v="0"/>
    <x v="63"/>
    <n v="35000"/>
    <x v="24"/>
    <x v="2"/>
    <x v="0"/>
    <x v="1"/>
    <s v="9602673754"/>
    <s v="Riya Wilson"/>
    <x v="57"/>
    <n v="11"/>
    <x v="1"/>
  </r>
  <r>
    <x v="65"/>
    <s v="Vikram"/>
    <x v="10"/>
    <x v="1"/>
    <x v="2"/>
    <x v="15"/>
    <x v="64"/>
    <n v="74000"/>
    <x v="0"/>
    <x v="2"/>
    <x v="1"/>
    <x v="0"/>
    <s v="9921198328"/>
    <s v="Vikram Wilson"/>
    <x v="31"/>
    <n v="4"/>
    <x v="0"/>
  </r>
  <r>
    <x v="66"/>
    <s v="Aarav"/>
    <x v="15"/>
    <x v="1"/>
    <x v="2"/>
    <x v="2"/>
    <x v="65"/>
    <n v="55000"/>
    <x v="0"/>
    <x v="0"/>
    <x v="2"/>
    <x v="0"/>
    <s v="no phone"/>
    <s v="Aarav Joshi"/>
    <x v="22"/>
    <n v="5"/>
    <x v="1"/>
  </r>
  <r>
    <x v="67"/>
    <s v="Olivia"/>
    <x v="7"/>
    <x v="0"/>
    <x v="1"/>
    <x v="1"/>
    <x v="66"/>
    <n v="73000"/>
    <x v="0"/>
    <x v="1"/>
    <x v="1"/>
    <x v="0"/>
    <s v="9340070455"/>
    <s v="Olivia Sharma"/>
    <x v="4"/>
    <n v="11"/>
    <x v="0"/>
  </r>
  <r>
    <x v="68"/>
    <s v="Meera"/>
    <x v="2"/>
    <x v="0"/>
    <x v="4"/>
    <x v="4"/>
    <x v="67"/>
    <n v="60500"/>
    <x v="0"/>
    <x v="1"/>
    <x v="0"/>
    <x v="0"/>
    <s v="9542177781"/>
    <s v="Meera Das"/>
    <x v="58"/>
    <n v="4"/>
    <x v="0"/>
  </r>
  <r>
    <x v="69"/>
    <s v="Amit"/>
    <x v="6"/>
    <x v="1"/>
    <x v="0"/>
    <x v="5"/>
    <x v="68"/>
    <n v="40500"/>
    <x v="0"/>
    <x v="0"/>
    <x v="5"/>
    <x v="1"/>
    <s v="9136611830"/>
    <s v="Amit Smith"/>
    <x v="21"/>
    <n v="8"/>
    <x v="1"/>
  </r>
  <r>
    <x v="70"/>
    <s v="Emma"/>
    <x v="2"/>
    <x v="0"/>
    <x v="0"/>
    <x v="0"/>
    <x v="69"/>
    <n v="48000"/>
    <x v="0"/>
    <x v="0"/>
    <x v="3"/>
    <x v="0"/>
    <s v="9315192683"/>
    <s v="Emma Das"/>
    <x v="59"/>
    <n v="11"/>
    <x v="1"/>
  </r>
  <r>
    <x v="71"/>
    <s v="Neha"/>
    <x v="8"/>
    <x v="0"/>
    <x v="4"/>
    <x v="8"/>
    <x v="70"/>
    <n v="90000"/>
    <x v="0"/>
    <x v="2"/>
    <x v="2"/>
    <x v="0"/>
    <s v="9339792468"/>
    <s v="Neha Taylor"/>
    <x v="60"/>
    <n v="8"/>
    <x v="0"/>
  </r>
  <r>
    <x v="72"/>
    <s v="Nikhil"/>
    <x v="3"/>
    <x v="1"/>
    <x v="2"/>
    <x v="15"/>
    <x v="71"/>
    <n v="66000"/>
    <x v="0"/>
    <x v="3"/>
    <x v="5"/>
    <x v="0"/>
    <s v="9862204860"/>
    <s v="Nikhil Patel"/>
    <x v="61"/>
    <n v="11"/>
    <x v="0"/>
  </r>
  <r>
    <x v="73"/>
    <s v="Mia"/>
    <x v="10"/>
    <x v="0"/>
    <x v="4"/>
    <x v="4"/>
    <x v="72"/>
    <n v="88000"/>
    <x v="0"/>
    <x v="2"/>
    <x v="4"/>
    <x v="0"/>
    <s v="9663497104"/>
    <s v="Mia Wilson"/>
    <x v="62"/>
    <n v="10"/>
    <x v="0"/>
  </r>
  <r>
    <x v="74"/>
    <s v="Ava"/>
    <x v="5"/>
    <x v="0"/>
    <x v="4"/>
    <x v="4"/>
    <x v="73"/>
    <n v="61500"/>
    <x v="0"/>
    <x v="3"/>
    <x v="1"/>
    <x v="0"/>
    <s v="no phone"/>
    <s v="Ava Davis"/>
    <x v="63"/>
    <n v="6"/>
    <x v="0"/>
  </r>
  <r>
    <x v="75"/>
    <s v="Karan"/>
    <x v="8"/>
    <x v="1"/>
    <x v="4"/>
    <x v="4"/>
    <x v="74"/>
    <n v="90500"/>
    <x v="0"/>
    <x v="0"/>
    <x v="4"/>
    <x v="0"/>
    <s v="no phone"/>
    <s v="Karan Taylor"/>
    <x v="64"/>
    <n v="2"/>
    <x v="0"/>
  </r>
  <r>
    <x v="76"/>
    <s v="Neha"/>
    <x v="13"/>
    <x v="0"/>
    <x v="4"/>
    <x v="4"/>
    <x v="75"/>
    <n v="64000"/>
    <x v="25"/>
    <x v="3"/>
    <x v="5"/>
    <x v="0"/>
    <s v="9923203499"/>
    <s v="Neha Brown"/>
    <x v="65"/>
    <n v="3"/>
    <x v="0"/>
  </r>
  <r>
    <x v="77"/>
    <s v="Amit"/>
    <x v="6"/>
    <x v="1"/>
    <x v="1"/>
    <x v="1"/>
    <x v="76"/>
    <n v="68000"/>
    <x v="0"/>
    <x v="0"/>
    <x v="4"/>
    <x v="1"/>
    <s v="9392395645"/>
    <s v="Amit Smith"/>
    <x v="66"/>
    <n v="8"/>
    <x v="0"/>
  </r>
  <r>
    <x v="78"/>
    <s v="Mia"/>
    <x v="1"/>
    <x v="0"/>
    <x v="4"/>
    <x v="4"/>
    <x v="77"/>
    <n v="59500"/>
    <x v="26"/>
    <x v="0"/>
    <x v="5"/>
    <x v="0"/>
    <s v="9126045435"/>
    <s v="Mia Mehta"/>
    <x v="67"/>
    <n v="11"/>
    <x v="1"/>
  </r>
  <r>
    <x v="79"/>
    <s v="Sophia"/>
    <x v="2"/>
    <x v="0"/>
    <x v="0"/>
    <x v="5"/>
    <x v="78"/>
    <n v="51500"/>
    <x v="27"/>
    <x v="3"/>
    <x v="3"/>
    <x v="0"/>
    <s v="no phone"/>
    <s v="Sophia Das"/>
    <x v="68"/>
    <n v="6"/>
    <x v="1"/>
  </r>
  <r>
    <x v="80"/>
    <s v="Imran"/>
    <x v="5"/>
    <x v="1"/>
    <x v="4"/>
    <x v="4"/>
    <x v="79"/>
    <n v="70000"/>
    <x v="4"/>
    <x v="3"/>
    <x v="2"/>
    <x v="0"/>
    <s v="9365544423"/>
    <s v="Imran Davis"/>
    <x v="11"/>
    <n v="7"/>
    <x v="0"/>
  </r>
  <r>
    <x v="81"/>
    <s v="Amit"/>
    <x v="14"/>
    <x v="1"/>
    <x v="3"/>
    <x v="7"/>
    <x v="80"/>
    <n v="80500"/>
    <x v="0"/>
    <x v="2"/>
    <x v="0"/>
    <x v="1"/>
    <s v="9384424887"/>
    <s v="Amit Singh"/>
    <x v="69"/>
    <n v="8"/>
    <x v="0"/>
  </r>
  <r>
    <x v="82"/>
    <s v="Meera"/>
    <x v="12"/>
    <x v="0"/>
    <x v="0"/>
    <x v="6"/>
    <x v="81"/>
    <n v="46500"/>
    <x v="0"/>
    <x v="1"/>
    <x v="4"/>
    <x v="0"/>
    <s v="9903134235"/>
    <s v="Meera Gupta"/>
    <x v="70"/>
    <n v="9"/>
    <x v="1"/>
  </r>
  <r>
    <x v="83"/>
    <s v="Riya"/>
    <x v="2"/>
    <x v="0"/>
    <x v="4"/>
    <x v="12"/>
    <x v="82"/>
    <n v="64500"/>
    <x v="0"/>
    <x v="1"/>
    <x v="3"/>
    <x v="0"/>
    <s v="9264628456"/>
    <s v="Riya Das"/>
    <x v="16"/>
    <n v="8"/>
    <x v="0"/>
  </r>
  <r>
    <x v="84"/>
    <s v="Sneha"/>
    <x v="10"/>
    <x v="0"/>
    <x v="0"/>
    <x v="0"/>
    <x v="83"/>
    <n v="51500"/>
    <x v="28"/>
    <x v="1"/>
    <x v="0"/>
    <x v="0"/>
    <s v="no phone"/>
    <s v="Sneha Wilson"/>
    <x v="71"/>
    <n v="9"/>
    <x v="1"/>
  </r>
  <r>
    <x v="85"/>
    <s v="Amit"/>
    <x v="0"/>
    <x v="1"/>
    <x v="2"/>
    <x v="2"/>
    <x v="84"/>
    <n v="95000"/>
    <x v="0"/>
    <x v="3"/>
    <x v="1"/>
    <x v="0"/>
    <s v="no phone"/>
    <s v="Amit Khan"/>
    <x v="72"/>
    <n v="6"/>
    <x v="0"/>
  </r>
  <r>
    <x v="86"/>
    <s v="Lucas"/>
    <x v="12"/>
    <x v="1"/>
    <x v="1"/>
    <x v="10"/>
    <x v="85"/>
    <n v="109000"/>
    <x v="0"/>
    <x v="1"/>
    <x v="3"/>
    <x v="0"/>
    <s v="9106807008"/>
    <s v="Lucas Gupta"/>
    <x v="73"/>
    <n v="6"/>
    <x v="2"/>
  </r>
  <r>
    <x v="87"/>
    <s v="Imran"/>
    <x v="7"/>
    <x v="1"/>
    <x v="4"/>
    <x v="8"/>
    <x v="86"/>
    <n v="49500"/>
    <x v="0"/>
    <x v="2"/>
    <x v="5"/>
    <x v="0"/>
    <s v="9318443959"/>
    <s v="Imran Sharma"/>
    <x v="74"/>
    <n v="11"/>
    <x v="1"/>
  </r>
  <r>
    <x v="88"/>
    <s v="Ananya"/>
    <x v="12"/>
    <x v="0"/>
    <x v="3"/>
    <x v="14"/>
    <x v="87"/>
    <n v="65500"/>
    <x v="0"/>
    <x v="3"/>
    <x v="2"/>
    <x v="0"/>
    <s v="9538269252"/>
    <s v="Ananya Gupta"/>
    <x v="67"/>
    <n v="10"/>
    <x v="0"/>
  </r>
  <r>
    <x v="89"/>
    <s v="John"/>
    <x v="2"/>
    <x v="1"/>
    <x v="3"/>
    <x v="14"/>
    <x v="88"/>
    <n v="51000"/>
    <x v="0"/>
    <x v="1"/>
    <x v="0"/>
    <x v="0"/>
    <s v="9817056539"/>
    <s v="John Das"/>
    <x v="36"/>
    <n v="4"/>
    <x v="1"/>
  </r>
  <r>
    <x v="90"/>
    <s v="Olivia"/>
    <x v="0"/>
    <x v="0"/>
    <x v="3"/>
    <x v="14"/>
    <x v="89"/>
    <n v="103000"/>
    <x v="28"/>
    <x v="1"/>
    <x v="2"/>
    <x v="1"/>
    <s v="9490607273"/>
    <s v="Olivia Khan"/>
    <x v="75"/>
    <n v="7"/>
    <x v="2"/>
  </r>
  <r>
    <x v="91"/>
    <s v="Neha"/>
    <x v="10"/>
    <x v="0"/>
    <x v="1"/>
    <x v="9"/>
    <x v="90"/>
    <n v="117000"/>
    <x v="29"/>
    <x v="3"/>
    <x v="3"/>
    <x v="0"/>
    <s v="9491622763"/>
    <s v="Neha Wilson"/>
    <x v="76"/>
    <n v="10"/>
    <x v="2"/>
  </r>
  <r>
    <x v="92"/>
    <s v="Aarav"/>
    <x v="4"/>
    <x v="1"/>
    <x v="3"/>
    <x v="7"/>
    <x v="91"/>
    <n v="54500"/>
    <x v="30"/>
    <x v="3"/>
    <x v="4"/>
    <x v="0"/>
    <s v="9641663093"/>
    <s v="Aarav Nair"/>
    <x v="77"/>
    <n v="4"/>
    <x v="1"/>
  </r>
  <r>
    <x v="93"/>
    <s v="Ananya"/>
    <x v="0"/>
    <x v="0"/>
    <x v="3"/>
    <x v="14"/>
    <x v="92"/>
    <n v="56500"/>
    <x v="0"/>
    <x v="1"/>
    <x v="3"/>
    <x v="0"/>
    <s v="9964050516"/>
    <s v="Ananya Khan"/>
    <x v="78"/>
    <n v="11"/>
    <x v="1"/>
  </r>
  <r>
    <x v="94"/>
    <s v="Lucas"/>
    <x v="4"/>
    <x v="1"/>
    <x v="0"/>
    <x v="5"/>
    <x v="93"/>
    <n v="55500"/>
    <x v="31"/>
    <x v="2"/>
    <x v="3"/>
    <x v="0"/>
    <s v="9766088191"/>
    <s v="Lucas Nair"/>
    <x v="79"/>
    <n v="11"/>
    <x v="1"/>
  </r>
  <r>
    <x v="95"/>
    <s v="Riya"/>
    <x v="13"/>
    <x v="0"/>
    <x v="2"/>
    <x v="13"/>
    <x v="94"/>
    <n v="94500"/>
    <x v="0"/>
    <x v="1"/>
    <x v="0"/>
    <x v="0"/>
    <s v="9268017943"/>
    <s v="Riya Brown"/>
    <x v="54"/>
    <n v="6"/>
    <x v="0"/>
  </r>
  <r>
    <x v="96"/>
    <s v="Rohan"/>
    <x v="2"/>
    <x v="1"/>
    <x v="2"/>
    <x v="2"/>
    <x v="95"/>
    <n v="42500"/>
    <x v="0"/>
    <x v="0"/>
    <x v="5"/>
    <x v="0"/>
    <s v="9589340112"/>
    <s v="Rohan Das"/>
    <x v="80"/>
    <n v="5"/>
    <x v="1"/>
  </r>
  <r>
    <x v="97"/>
    <s v="Riya"/>
    <x v="8"/>
    <x v="0"/>
    <x v="2"/>
    <x v="13"/>
    <x v="96"/>
    <n v="68000"/>
    <x v="0"/>
    <x v="1"/>
    <x v="3"/>
    <x v="0"/>
    <s v="no phone"/>
    <s v="Riya Taylor"/>
    <x v="66"/>
    <n v="7"/>
    <x v="0"/>
  </r>
  <r>
    <x v="98"/>
    <s v="Sophia"/>
    <x v="11"/>
    <x v="0"/>
    <x v="3"/>
    <x v="14"/>
    <x v="97"/>
    <n v="96000"/>
    <x v="32"/>
    <x v="0"/>
    <x v="5"/>
    <x v="0"/>
    <s v="9172070263"/>
    <s v="Sophia Reddy"/>
    <x v="81"/>
    <n v="2"/>
    <x v="0"/>
  </r>
  <r>
    <x v="99"/>
    <s v="Sneha"/>
    <x v="14"/>
    <x v="0"/>
    <x v="0"/>
    <x v="0"/>
    <x v="98"/>
    <n v="68000"/>
    <x v="0"/>
    <x v="3"/>
    <x v="1"/>
    <x v="0"/>
    <s v="9436860564"/>
    <s v="Sneha Singh"/>
    <x v="66"/>
    <n v="6"/>
    <x v="0"/>
  </r>
  <r>
    <x v="100"/>
    <m/>
    <x v="16"/>
    <x v="2"/>
    <x v="5"/>
    <x v="16"/>
    <x v="99"/>
    <m/>
    <x v="33"/>
    <x v="4"/>
    <x v="6"/>
    <x v="3"/>
    <m/>
    <s v=" "/>
    <x v="8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4238E-3429-450F-BA36-CE72AE0C404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0:E36" firstHeaderRow="1" firstDataRow="1" firstDataCol="1"/>
  <pivotFields count="20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7">
        <item x="1"/>
        <item x="3"/>
        <item x="0"/>
        <item x="4"/>
        <item x="2"/>
        <item h="1" x="5"/>
        <item t="default"/>
      </items>
    </pivotField>
    <pivotField showAll="0"/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7" subtotal="average" baseField="4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AD4FE-2C86-4543-82B9-6F91B2B6CC6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D3:D4" firstHeaderRow="1" firstDataRow="1" firstDataCol="0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>
      <items count="18">
        <item x="13"/>
        <item x="2"/>
        <item x="5"/>
        <item x="12"/>
        <item x="9"/>
        <item x="15"/>
        <item x="0"/>
        <item x="1"/>
        <item x="4"/>
        <item x="3"/>
        <item x="11"/>
        <item x="7"/>
        <item x="14"/>
        <item x="6"/>
        <item x="8"/>
        <item x="10"/>
        <item x="16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>
      <items count="18">
        <item x="13"/>
        <item x="7"/>
        <item x="8"/>
        <item x="1"/>
        <item x="3"/>
        <item x="14"/>
        <item x="0"/>
        <item x="5"/>
        <item x="4"/>
        <item x="10"/>
        <item x="6"/>
        <item x="15"/>
        <item x="2"/>
        <item x="9"/>
        <item x="12"/>
        <item x="11"/>
        <item x="16"/>
        <item t="default"/>
      </items>
    </pivotField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>
      <items count="35">
        <item x="0"/>
        <item x="24"/>
        <item x="13"/>
        <item x="12"/>
        <item x="8"/>
        <item x="16"/>
        <item x="27"/>
        <item x="30"/>
        <item x="20"/>
        <item x="5"/>
        <item x="25"/>
        <item x="3"/>
        <item x="17"/>
        <item x="14"/>
        <item x="23"/>
        <item x="11"/>
        <item x="21"/>
        <item x="32"/>
        <item x="7"/>
        <item x="28"/>
        <item x="18"/>
        <item x="31"/>
        <item x="22"/>
        <item x="29"/>
        <item x="26"/>
        <item x="4"/>
        <item x="6"/>
        <item x="1"/>
        <item x="15"/>
        <item x="9"/>
        <item x="19"/>
        <item x="10"/>
        <item x="2"/>
        <item x="33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>
      <items count="8">
        <item x="0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Count of Emp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625CA-F38F-441C-A4DD-15AC760C5C1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 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C2567-6F6E-45EC-8EF1-629C5EB16A2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0:B35" firstHeaderRow="1" firstDataRow="1" firstDataCol="1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/>
    <pivotField axis="axisRow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 ID" fld="0" subtotal="count" baseField="0" baseItem="0"/>
  </dataFields>
  <chartFormats count="6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6441B-2737-4CB3-A8BA-DC1CE04BAC2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13:G24" firstHeaderRow="1" firstDataRow="1" firstDataCol="1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axis="axisRow"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/>
    <pivotField showAll="0"/>
    <pivotField showAll="0">
      <items count="8">
        <item x="0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19"/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 ID" fld="0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39330-5D74-41A9-B505-CC725C074FA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9:C26" firstHeaderRow="1" firstDataRow="1" firstDataCol="1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axis="axisRow" showAll="0">
      <items count="18">
        <item x="13"/>
        <item x="7"/>
        <item x="8"/>
        <item x="1"/>
        <item x="3"/>
        <item x="14"/>
        <item x="0"/>
        <item x="5"/>
        <item x="4"/>
        <item x="10"/>
        <item x="6"/>
        <item x="15"/>
        <item x="2"/>
        <item x="9"/>
        <item x="12"/>
        <item x="11"/>
        <item h="1" x="16"/>
        <item t="default"/>
      </items>
    </pivotField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Emp ID" fld="0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CF9B6-97DA-4171-AD75-3DFC034B62B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D42:E48" firstHeaderRow="1" firstDataRow="1" firstDataCol="1"/>
  <pivotFields count="20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7">
        <item x="1"/>
        <item x="3"/>
        <item x="0"/>
        <item x="4"/>
        <item x="2"/>
        <item h="1" x="5"/>
        <item t="default"/>
      </items>
    </pivotField>
    <pivotField showAll="0"/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7" baseField="0" baseItem="0"/>
  </dataField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83E26-E9F2-4BE3-96F9-C89CFC7F4D0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G30:H37" firstHeaderRow="1" firstDataRow="1" firstDataCol="1"/>
  <pivotFields count="20">
    <pivotField dataField="1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showAll="0">
      <items count="7">
        <item x="1"/>
        <item x="3"/>
        <item x="0"/>
        <item x="4"/>
        <item x="2"/>
        <item h="1" x="5"/>
        <item t="default"/>
      </items>
    </pivotField>
    <pivotField showAll="0">
      <items count="18">
        <item x="13"/>
        <item x="7"/>
        <item x="8"/>
        <item x="1"/>
        <item x="3"/>
        <item x="14"/>
        <item x="0"/>
        <item x="5"/>
        <item x="4"/>
        <item x="10"/>
        <item x="6"/>
        <item x="15"/>
        <item x="2"/>
        <item x="9"/>
        <item x="12"/>
        <item x="11"/>
        <item x="16"/>
        <item t="default"/>
      </items>
    </pivotField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8">
        <item x="0"/>
        <item x="1"/>
        <item x="4"/>
        <item x="2"/>
        <item x="3"/>
        <item x="5"/>
        <item h="1" x="6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 ID" fld="0" subtotal="count" baseField="0" baseItem="0"/>
  </dataFields>
  <chartFormats count="8"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1C081-F72F-446B-A5F4-44424CD4AD3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4:I10" firstHeaderRow="1" firstDataRow="1" firstDataCol="1"/>
  <pivotFields count="20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7">
        <item x="1"/>
        <item x="3"/>
        <item x="0"/>
        <item x="4"/>
        <item x="2"/>
        <item h="1" x="5"/>
        <item t="default"/>
      </items>
    </pivotField>
    <pivotField showAll="0"/>
    <pivotField showAll="0">
      <items count="101">
        <item x="41"/>
        <item x="77"/>
        <item x="69"/>
        <item x="6"/>
        <item x="43"/>
        <item x="86"/>
        <item x="0"/>
        <item x="93"/>
        <item x="71"/>
        <item x="92"/>
        <item x="66"/>
        <item x="63"/>
        <item x="51"/>
        <item x="87"/>
        <item x="40"/>
        <item x="1"/>
        <item x="13"/>
        <item x="12"/>
        <item x="72"/>
        <item x="20"/>
        <item x="10"/>
        <item x="90"/>
        <item x="37"/>
        <item x="35"/>
        <item x="81"/>
        <item x="36"/>
        <item x="83"/>
        <item x="82"/>
        <item x="76"/>
        <item x="68"/>
        <item x="55"/>
        <item x="33"/>
        <item x="34"/>
        <item x="70"/>
        <item x="29"/>
        <item x="53"/>
        <item x="80"/>
        <item x="42"/>
        <item x="57"/>
        <item x="8"/>
        <item x="89"/>
        <item x="52"/>
        <item x="79"/>
        <item x="11"/>
        <item x="46"/>
        <item x="96"/>
        <item x="54"/>
        <item x="9"/>
        <item x="58"/>
        <item x="31"/>
        <item x="78"/>
        <item x="73"/>
        <item x="62"/>
        <item x="38"/>
        <item x="84"/>
        <item x="59"/>
        <item x="27"/>
        <item x="30"/>
        <item x="19"/>
        <item x="94"/>
        <item x="44"/>
        <item x="5"/>
        <item x="45"/>
        <item x="98"/>
        <item x="85"/>
        <item x="47"/>
        <item x="22"/>
        <item x="2"/>
        <item x="95"/>
        <item x="65"/>
        <item x="14"/>
        <item x="32"/>
        <item x="3"/>
        <item x="91"/>
        <item x="16"/>
        <item x="67"/>
        <item x="88"/>
        <item x="64"/>
        <item x="26"/>
        <item x="50"/>
        <item x="21"/>
        <item x="56"/>
        <item x="75"/>
        <item x="24"/>
        <item x="15"/>
        <item x="49"/>
        <item x="61"/>
        <item x="4"/>
        <item x="18"/>
        <item x="28"/>
        <item x="60"/>
        <item x="17"/>
        <item x="97"/>
        <item x="74"/>
        <item x="39"/>
        <item x="7"/>
        <item x="48"/>
        <item x="25"/>
        <item x="23"/>
        <item x="9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84">
        <item x="57"/>
        <item x="7"/>
        <item x="50"/>
        <item x="21"/>
        <item x="40"/>
        <item x="80"/>
        <item x="2"/>
        <item x="24"/>
        <item x="38"/>
        <item x="32"/>
        <item x="70"/>
        <item x="59"/>
        <item x="25"/>
        <item x="13"/>
        <item x="29"/>
        <item x="44"/>
        <item x="74"/>
        <item x="10"/>
        <item x="36"/>
        <item x="37"/>
        <item x="68"/>
        <item x="22"/>
        <item x="78"/>
        <item x="71"/>
        <item x="30"/>
        <item x="77"/>
        <item x="52"/>
        <item x="47"/>
        <item x="58"/>
        <item x="79"/>
        <item x="63"/>
        <item x="48"/>
        <item x="6"/>
        <item x="55"/>
        <item x="14"/>
        <item x="18"/>
        <item x="12"/>
        <item x="16"/>
        <item x="67"/>
        <item x="61"/>
        <item x="65"/>
        <item x="66"/>
        <item x="39"/>
        <item x="9"/>
        <item x="53"/>
        <item x="46"/>
        <item x="4"/>
        <item x="31"/>
        <item x="5"/>
        <item x="11"/>
        <item x="41"/>
        <item x="0"/>
        <item x="17"/>
        <item x="69"/>
        <item x="56"/>
        <item x="3"/>
        <item x="28"/>
        <item x="49"/>
        <item x="42"/>
        <item x="62"/>
        <item x="35"/>
        <item x="19"/>
        <item x="60"/>
        <item x="64"/>
        <item x="34"/>
        <item x="23"/>
        <item x="54"/>
        <item x="72"/>
        <item x="1"/>
        <item x="81"/>
        <item x="33"/>
        <item x="43"/>
        <item x="15"/>
        <item x="75"/>
        <item x="73"/>
        <item x="26"/>
        <item x="51"/>
        <item x="76"/>
        <item x="45"/>
        <item x="27"/>
        <item x="20"/>
        <item x="8"/>
        <item x="82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7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14763-EA3E-4725-91B8-F27A1E404D13}" name="pvtTestHeadcount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X3:Y8" firstHeaderRow="1" firstDataRow="1" firstDataCol="1"/>
  <pivotFields count="21">
    <pivotField dataField="1"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64" showAll="0"/>
    <pivotField numFmtId="3"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Headcount" fld="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52A64-360D-4317-9A4B-517199E13F75}" name="Table2" displayName="Table2" ref="A1:Q102" totalsRowShown="0" headerRowDxfId="28">
  <autoFilter ref="A1:Q102" xr:uid="{09952A64-360D-4317-9A4B-517199E13F75}"/>
  <tableColumns count="17">
    <tableColumn id="1" xr3:uid="{ADDF7625-76D5-49A8-863D-534F9DE43434}" name="Emp ID" dataDxfId="27"/>
    <tableColumn id="2" xr3:uid="{3E27AFC0-07C8-4956-BF91-99B19FD0B145}" name="First Name" dataDxfId="26"/>
    <tableColumn id="3" xr3:uid="{7E944747-91C1-4837-AF31-C3D493E26579}" name="Last Name" dataDxfId="25"/>
    <tableColumn id="4" xr3:uid="{D0AA6734-248C-4FCD-ABC1-FFBDE8320826}" name="Gender" dataDxfId="24"/>
    <tableColumn id="5" xr3:uid="{0D4B7DA6-06BC-4051-A794-24CBDDA0624D}" name="Department" dataDxfId="23"/>
    <tableColumn id="6" xr3:uid="{526D8FE2-E509-4CFD-9C5E-501482707415}" name="Job Title" dataDxfId="22"/>
    <tableColumn id="7" xr3:uid="{166330A0-CC24-4097-A15A-DAF8476FCEA3}" name="Hire Date" dataDxfId="21"/>
    <tableColumn id="8" xr3:uid="{813439F0-AACF-4845-A7BD-658A652A2ECC}" name="Salary" dataDxfId="20"/>
    <tableColumn id="9" xr3:uid="{5B54B673-7C28-47D9-9AE8-69D76CD68F40}" name="Bonus" dataDxfId="19"/>
    <tableColumn id="10" xr3:uid="{EB986696-5567-42D8-869B-DF5868897643}" name="Performance Rating" dataDxfId="18"/>
    <tableColumn id="11" xr3:uid="{636422D4-D583-4BB3-A028-CAFA262F8DA2}" name="City" dataDxfId="17"/>
    <tableColumn id="12" xr3:uid="{E05E36B0-899F-4780-9967-E264EE10293A}" name="Status" dataDxfId="16"/>
    <tableColumn id="13" xr3:uid="{CD11EBF0-6321-4178-A9B7-0B9B4AEB9A7A}" name="Phone" dataDxfId="15"/>
    <tableColumn id="14" xr3:uid="{A54809DC-1686-4C28-A6D4-C89645BBC05B}" name="full name">
      <calculatedColumnFormula>B2&amp;" "&amp;C2</calculatedColumnFormula>
    </tableColumn>
    <tableColumn id="15" xr3:uid="{FED3877A-9C65-47BB-AF3A-204A88BA1A7C}" name="salary and bonus" dataDxfId="14"/>
    <tableColumn id="16" xr3:uid="{6BA39788-EFCB-4980-8329-728C96D147F8}" name="EXPERIENCE"/>
    <tableColumn id="17" xr3:uid="{27ECDD6C-B63A-4ABE-9E3C-ACA9B0169E0E}" name="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0FF6E6-8FF3-473E-B2B6-4BF3AB203F95}" name="tblHR" displayName="tblHR" ref="A1:U101" totalsRowShown="0">
  <autoFilter ref="A1:U101" xr:uid="{AD0FF6E6-8FF3-473E-B2B6-4BF3AB203F95}"/>
  <tableColumns count="21">
    <tableColumn id="1" xr3:uid="{2FA246E4-2CD7-4B7D-BCC8-50206D6904FE}" name="Emp ID" dataDxfId="13"/>
    <tableColumn id="2" xr3:uid="{C1285AB6-9A55-4C4F-90B8-9A7A6098448D}" name="First Name" dataDxfId="12"/>
    <tableColumn id="3" xr3:uid="{E171E741-2501-499B-8F15-1D0332258627}" name="Last Name" dataDxfId="11"/>
    <tableColumn id="4" xr3:uid="{EDDD225E-EE6E-48D2-B008-6FC99A3FCBE6}" name="Gender" dataDxfId="10"/>
    <tableColumn id="5" xr3:uid="{C7A9E070-AD90-4BF1-8552-4B87599C728B}" name="Department" dataDxfId="9"/>
    <tableColumn id="6" xr3:uid="{6FC56631-19E4-4E24-8CAD-93B3DEC3DEE7}" name="Job Title" dataDxfId="8"/>
    <tableColumn id="7" xr3:uid="{9299A447-3036-41C3-99BF-1CA3E77062C0}" name="Hire Date" dataDxfId="7"/>
    <tableColumn id="8" xr3:uid="{BBFA0616-9370-45D5-8805-AAC75701EFBC}" name="Salary" dataDxfId="6"/>
    <tableColumn id="9" xr3:uid="{A8B1D958-7B8F-45DD-8EE5-9DE0C8011AF2}" name="Bonus" dataDxfId="5"/>
    <tableColumn id="10" xr3:uid="{7A81A332-258B-40AB-BFC6-D542286F7F3B}" name="Performance Rating" dataDxfId="4"/>
    <tableColumn id="11" xr3:uid="{CA1A3F71-6139-4D10-8AE4-03131132A2D8}" name="City" dataDxfId="3"/>
    <tableColumn id="12" xr3:uid="{4C47DAC3-660B-416F-B1CB-B9B2F44538F2}" name="Status" dataDxfId="2"/>
    <tableColumn id="13" xr3:uid="{2D3CEED0-977E-4457-A283-00E5D87BFDD7}" name="Phone" dataDxfId="1"/>
    <tableColumn id="14" xr3:uid="{83232590-F35B-4908-A978-560A05BB0CE2}" name="Full Name">
      <calculatedColumnFormula>B2&amp;" "&amp;C2</calculatedColumnFormula>
    </tableColumn>
    <tableColumn id="15" xr3:uid="{B5940EA1-7BDB-4EB7-9413-EA570ED2027D}" name="Total Pay" dataDxfId="0">
      <calculatedColumnFormula>SUM(H2:I2)</calculatedColumnFormula>
    </tableColumn>
    <tableColumn id="16" xr3:uid="{5AF6E96B-D471-46D1-9924-89D81E01C002}" name="Years of Service">
      <calculatedColumnFormula>DATEDIF(G2,TODAY(),"Y")</calculatedColumnFormula>
    </tableColumn>
    <tableColumn id="17" xr3:uid="{452CC86D-D3B6-45A9-A872-C6E833267FD4}" name="Grade">
      <calculatedColumnFormula>IF(H2&gt;=100000,"A",IF(H2&gt;=60000,"B","C"))</calculatedColumnFormula>
    </tableColumn>
    <tableColumn id="18" xr3:uid="{267994D2-65C3-42ED-AB39-185DE82AB1CD}" name="Tenure Band">
      <calculatedColumnFormula>IF(P2&lt;3,"0-2 yrs",IF(P2&lt;6,"3-5 yrs",IF(P2&lt;9,"6-8 yrs","9+ yrs")))</calculatedColumnFormula>
    </tableColumn>
    <tableColumn id="19" xr3:uid="{459F4AB7-1B70-4B98-B91F-C74AF4477FF4}" name="Department Head">
      <calculatedColumnFormula>VLOOKUP(E2,Departments!$A$2:$D$6,3,FALSE)</calculatedColumnFormula>
    </tableColumn>
    <tableColumn id="20" xr3:uid="{4AFCE268-48DF-4C28-A8DA-1813A048D49A}" name="Annual Budget">
      <calculatedColumnFormula>VLOOKUP(E2,Departments!$A$2:$D$6,4,FALSE)</calculatedColumnFormula>
    </tableColumn>
    <tableColumn id="21" xr3:uid="{B96130BA-BDAE-4286-8C49-36620D083512}" name="Hire Year">
      <calculatedColumnFormula>YEAR(G2)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0D65E8-4C61-4CEF-B7F3-61D7A42B1DF6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fc7f352a-ea80-4797-b100-0ace77eab6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B610-E6CD-4F78-9638-0AF8C0201AD6}">
  <dimension ref="A3:I48"/>
  <sheetViews>
    <sheetView topLeftCell="B34" workbookViewId="0">
      <selection activeCell="H42" sqref="H42"/>
    </sheetView>
  </sheetViews>
  <sheetFormatPr defaultRowHeight="14.5" x14ac:dyDescent="0.35"/>
  <cols>
    <col min="1" max="1" width="12.36328125" bestFit="1" customWidth="1"/>
    <col min="2" max="3" width="14.6328125" bestFit="1" customWidth="1"/>
    <col min="4" max="4" width="12.36328125" bestFit="1" customWidth="1"/>
    <col min="5" max="5" width="12.08984375" bestFit="1" customWidth="1"/>
    <col min="6" max="7" width="12.36328125" bestFit="1" customWidth="1"/>
    <col min="8" max="8" width="14.6328125" bestFit="1" customWidth="1"/>
    <col min="9" max="9" width="12.08984375" bestFit="1" customWidth="1"/>
  </cols>
  <sheetData>
    <row r="3" spans="1:9" x14ac:dyDescent="0.35">
      <c r="A3" s="10" t="s">
        <v>298</v>
      </c>
      <c r="B3" t="s">
        <v>300</v>
      </c>
      <c r="D3" t="s">
        <v>300</v>
      </c>
    </row>
    <row r="4" spans="1:9" x14ac:dyDescent="0.35">
      <c r="A4" s="11" t="s">
        <v>16</v>
      </c>
      <c r="B4">
        <v>54</v>
      </c>
      <c r="D4">
        <v>100</v>
      </c>
      <c r="H4" s="10" t="s">
        <v>298</v>
      </c>
      <c r="I4" t="s">
        <v>312</v>
      </c>
    </row>
    <row r="5" spans="1:9" x14ac:dyDescent="0.35">
      <c r="A5" s="11" t="s">
        <v>39</v>
      </c>
      <c r="B5">
        <v>46</v>
      </c>
      <c r="H5" s="11" t="s">
        <v>26</v>
      </c>
      <c r="I5">
        <v>1561000</v>
      </c>
    </row>
    <row r="6" spans="1:9" x14ac:dyDescent="0.35">
      <c r="A6" s="11" t="s">
        <v>299</v>
      </c>
      <c r="B6">
        <v>100</v>
      </c>
      <c r="H6" s="11" t="s">
        <v>40</v>
      </c>
      <c r="I6">
        <v>1428500</v>
      </c>
    </row>
    <row r="7" spans="1:9" x14ac:dyDescent="0.35">
      <c r="H7" s="11" t="s">
        <v>17</v>
      </c>
      <c r="I7">
        <v>1383000</v>
      </c>
    </row>
    <row r="8" spans="1:9" x14ac:dyDescent="0.35">
      <c r="H8" s="11" t="s">
        <v>51</v>
      </c>
      <c r="I8">
        <v>1712000</v>
      </c>
    </row>
    <row r="9" spans="1:9" x14ac:dyDescent="0.35">
      <c r="B9" s="10" t="s">
        <v>298</v>
      </c>
      <c r="C9" t="s">
        <v>300</v>
      </c>
      <c r="H9" s="11" t="s">
        <v>33</v>
      </c>
      <c r="I9">
        <v>962000</v>
      </c>
    </row>
    <row r="10" spans="1:9" x14ac:dyDescent="0.35">
      <c r="B10" s="11" t="s">
        <v>121</v>
      </c>
      <c r="C10">
        <v>3</v>
      </c>
      <c r="H10" s="11" t="s">
        <v>299</v>
      </c>
      <c r="I10">
        <v>7046500</v>
      </c>
    </row>
    <row r="11" spans="1:9" x14ac:dyDescent="0.35">
      <c r="B11" s="11" t="s">
        <v>83</v>
      </c>
      <c r="C11">
        <v>7</v>
      </c>
    </row>
    <row r="12" spans="1:9" x14ac:dyDescent="0.35">
      <c r="B12" s="11" t="s">
        <v>87</v>
      </c>
      <c r="C12">
        <v>4</v>
      </c>
    </row>
    <row r="13" spans="1:9" x14ac:dyDescent="0.35">
      <c r="B13" s="11" t="s">
        <v>27</v>
      </c>
      <c r="C13">
        <v>5</v>
      </c>
      <c r="F13" s="10" t="s">
        <v>298</v>
      </c>
      <c r="G13" t="s">
        <v>300</v>
      </c>
    </row>
    <row r="14" spans="1:9" x14ac:dyDescent="0.35">
      <c r="B14" s="11" t="s">
        <v>41</v>
      </c>
      <c r="C14">
        <v>5</v>
      </c>
      <c r="F14" s="11" t="s">
        <v>313</v>
      </c>
      <c r="G14">
        <v>16</v>
      </c>
    </row>
    <row r="15" spans="1:9" x14ac:dyDescent="0.35">
      <c r="B15" s="11" t="s">
        <v>133</v>
      </c>
      <c r="C15">
        <v>7</v>
      </c>
      <c r="F15" s="11" t="s">
        <v>314</v>
      </c>
      <c r="G15">
        <v>8</v>
      </c>
    </row>
    <row r="16" spans="1:9" x14ac:dyDescent="0.35">
      <c r="B16" s="11" t="s">
        <v>18</v>
      </c>
      <c r="C16">
        <v>9</v>
      </c>
      <c r="F16" s="11" t="s">
        <v>315</v>
      </c>
      <c r="G16">
        <v>8</v>
      </c>
    </row>
    <row r="17" spans="1:8" x14ac:dyDescent="0.35">
      <c r="B17" s="11" t="s">
        <v>58</v>
      </c>
      <c r="C17">
        <v>9</v>
      </c>
      <c r="F17" s="11" t="s">
        <v>316</v>
      </c>
      <c r="G17">
        <v>9</v>
      </c>
    </row>
    <row r="18" spans="1:8" x14ac:dyDescent="0.35">
      <c r="B18" s="11" t="s">
        <v>52</v>
      </c>
      <c r="C18">
        <v>14</v>
      </c>
      <c r="F18" s="11" t="s">
        <v>317</v>
      </c>
      <c r="G18">
        <v>12</v>
      </c>
    </row>
    <row r="19" spans="1:8" x14ac:dyDescent="0.35">
      <c r="B19" s="11" t="s">
        <v>102</v>
      </c>
      <c r="C19">
        <v>4</v>
      </c>
      <c r="F19" s="11" t="s">
        <v>318</v>
      </c>
      <c r="G19">
        <v>13</v>
      </c>
    </row>
    <row r="20" spans="1:8" x14ac:dyDescent="0.35">
      <c r="B20" s="11" t="s">
        <v>73</v>
      </c>
      <c r="C20">
        <v>6</v>
      </c>
      <c r="F20" s="11" t="s">
        <v>319</v>
      </c>
      <c r="G20">
        <v>7</v>
      </c>
    </row>
    <row r="21" spans="1:8" x14ac:dyDescent="0.35">
      <c r="B21" s="11" t="s">
        <v>160</v>
      </c>
      <c r="C21">
        <v>4</v>
      </c>
      <c r="F21" s="11" t="s">
        <v>320</v>
      </c>
      <c r="G21">
        <v>8</v>
      </c>
    </row>
    <row r="22" spans="1:8" x14ac:dyDescent="0.35">
      <c r="B22" s="11" t="s">
        <v>34</v>
      </c>
      <c r="C22">
        <v>8</v>
      </c>
      <c r="F22" s="11" t="s">
        <v>321</v>
      </c>
      <c r="G22">
        <v>9</v>
      </c>
    </row>
    <row r="23" spans="1:8" x14ac:dyDescent="0.35">
      <c r="B23" s="11" t="s">
        <v>91</v>
      </c>
      <c r="C23">
        <v>5</v>
      </c>
      <c r="F23" s="11" t="s">
        <v>322</v>
      </c>
      <c r="G23">
        <v>10</v>
      </c>
    </row>
    <row r="24" spans="1:8" x14ac:dyDescent="0.35">
      <c r="B24" s="11" t="s">
        <v>117</v>
      </c>
      <c r="C24">
        <v>8</v>
      </c>
      <c r="F24" s="11" t="s">
        <v>299</v>
      </c>
      <c r="G24">
        <v>100</v>
      </c>
    </row>
    <row r="25" spans="1:8" x14ac:dyDescent="0.35">
      <c r="B25" s="11" t="s">
        <v>106</v>
      </c>
      <c r="C25">
        <v>2</v>
      </c>
    </row>
    <row r="26" spans="1:8" x14ac:dyDescent="0.35">
      <c r="B26" s="11" t="s">
        <v>299</v>
      </c>
      <c r="C26">
        <v>100</v>
      </c>
    </row>
    <row r="30" spans="1:8" x14ac:dyDescent="0.35">
      <c r="A30" s="10" t="s">
        <v>298</v>
      </c>
      <c r="B30" t="s">
        <v>300</v>
      </c>
      <c r="D30" s="10" t="s">
        <v>298</v>
      </c>
      <c r="E30" t="s">
        <v>323</v>
      </c>
      <c r="G30" s="10" t="s">
        <v>298</v>
      </c>
      <c r="H30" t="s">
        <v>300</v>
      </c>
    </row>
    <row r="31" spans="1:8" x14ac:dyDescent="0.35">
      <c r="A31" s="11" t="s">
        <v>69</v>
      </c>
      <c r="B31">
        <v>19</v>
      </c>
      <c r="D31" s="11" t="s">
        <v>26</v>
      </c>
      <c r="E31">
        <v>97562.5</v>
      </c>
      <c r="G31" s="11" t="s">
        <v>20</v>
      </c>
      <c r="H31">
        <v>16</v>
      </c>
    </row>
    <row r="32" spans="1:8" x14ac:dyDescent="0.35">
      <c r="A32" s="11" t="s">
        <v>28</v>
      </c>
      <c r="B32">
        <v>40</v>
      </c>
      <c r="D32" s="11" t="s">
        <v>40</v>
      </c>
      <c r="E32">
        <v>75184.210526315786</v>
      </c>
      <c r="G32" s="11" t="s">
        <v>29</v>
      </c>
      <c r="H32">
        <v>17</v>
      </c>
    </row>
    <row r="33" spans="1:8" x14ac:dyDescent="0.35">
      <c r="A33" s="11" t="s">
        <v>19</v>
      </c>
      <c r="B33">
        <v>29</v>
      </c>
      <c r="D33" s="11" t="s">
        <v>17</v>
      </c>
      <c r="E33">
        <v>57625</v>
      </c>
      <c r="G33" s="11" t="s">
        <v>53</v>
      </c>
      <c r="H33">
        <v>19</v>
      </c>
    </row>
    <row r="34" spans="1:8" x14ac:dyDescent="0.35">
      <c r="A34" s="11" t="s">
        <v>62</v>
      </c>
      <c r="B34">
        <v>12</v>
      </c>
      <c r="D34" s="11" t="s">
        <v>51</v>
      </c>
      <c r="E34">
        <v>65846.153846153844</v>
      </c>
      <c r="G34" s="11" t="s">
        <v>35</v>
      </c>
      <c r="H34">
        <v>16</v>
      </c>
    </row>
    <row r="35" spans="1:8" x14ac:dyDescent="0.35">
      <c r="A35" s="11" t="s">
        <v>299</v>
      </c>
      <c r="B35">
        <v>100</v>
      </c>
      <c r="D35" s="11" t="s">
        <v>33</v>
      </c>
      <c r="E35">
        <v>64133.333333333336</v>
      </c>
      <c r="G35" s="11" t="s">
        <v>42</v>
      </c>
      <c r="H35">
        <v>19</v>
      </c>
    </row>
    <row r="36" spans="1:8" x14ac:dyDescent="0.35">
      <c r="D36" s="11" t="s">
        <v>299</v>
      </c>
      <c r="E36">
        <v>70465</v>
      </c>
      <c r="G36" s="11" t="s">
        <v>97</v>
      </c>
      <c r="H36">
        <v>13</v>
      </c>
    </row>
    <row r="37" spans="1:8" x14ac:dyDescent="0.35">
      <c r="G37" s="11" t="s">
        <v>299</v>
      </c>
      <c r="H37">
        <v>100</v>
      </c>
    </row>
    <row r="42" spans="1:8" x14ac:dyDescent="0.35">
      <c r="D42" s="10" t="s">
        <v>298</v>
      </c>
      <c r="E42" t="s">
        <v>312</v>
      </c>
    </row>
    <row r="43" spans="1:8" x14ac:dyDescent="0.35">
      <c r="D43" s="11" t="s">
        <v>26</v>
      </c>
      <c r="E43">
        <v>1561000</v>
      </c>
    </row>
    <row r="44" spans="1:8" x14ac:dyDescent="0.35">
      <c r="D44" s="11" t="s">
        <v>40</v>
      </c>
      <c r="E44">
        <v>1428500</v>
      </c>
    </row>
    <row r="45" spans="1:8" x14ac:dyDescent="0.35">
      <c r="D45" s="11" t="s">
        <v>17</v>
      </c>
      <c r="E45">
        <v>1383000</v>
      </c>
    </row>
    <row r="46" spans="1:8" x14ac:dyDescent="0.35">
      <c r="D46" s="11" t="s">
        <v>51</v>
      </c>
      <c r="E46">
        <v>1712000</v>
      </c>
    </row>
    <row r="47" spans="1:8" x14ac:dyDescent="0.35">
      <c r="D47" s="11" t="s">
        <v>33</v>
      </c>
      <c r="E47">
        <v>962000</v>
      </c>
    </row>
    <row r="48" spans="1:8" x14ac:dyDescent="0.35">
      <c r="D48" s="11" t="s">
        <v>299</v>
      </c>
      <c r="E48">
        <v>7046500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opLeftCell="J1" zoomScale="87"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10" customWidth="1"/>
    <col min="2" max="3" width="13" customWidth="1"/>
    <col min="4" max="4" width="10" customWidth="1"/>
    <col min="5" max="5" width="14" customWidth="1"/>
    <col min="6" max="6" width="18" customWidth="1"/>
    <col min="7" max="7" width="14" customWidth="1"/>
    <col min="8" max="8" width="11" customWidth="1"/>
    <col min="9" max="9" width="10" customWidth="1"/>
    <col min="10" max="10" width="21.26953125" customWidth="1"/>
    <col min="11" max="11" width="13" customWidth="1"/>
    <col min="12" max="12" width="11" customWidth="1"/>
    <col min="13" max="13" width="14" customWidth="1"/>
    <col min="14" max="14" width="13.6328125" customWidth="1"/>
    <col min="15" max="15" width="18.6328125" customWidth="1"/>
    <col min="16" max="16" width="15.81640625" customWidth="1"/>
    <col min="17" max="17" width="10.453125" customWidth="1"/>
    <col min="18" max="18" width="13.1796875" customWidth="1"/>
    <col min="19" max="19" width="15.6328125" customWidth="1"/>
    <col min="20" max="20" width="11.453125" customWidth="1"/>
  </cols>
  <sheetData>
    <row r="1" spans="1:1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288</v>
      </c>
      <c r="O1" s="1" t="s">
        <v>289</v>
      </c>
      <c r="P1" s="1" t="s">
        <v>290</v>
      </c>
      <c r="Q1" s="1" t="s">
        <v>291</v>
      </c>
    </row>
    <row r="2" spans="1:19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42202</v>
      </c>
      <c r="H2" s="4">
        <v>77500</v>
      </c>
      <c r="I2" s="4">
        <v>0</v>
      </c>
      <c r="J2" s="2" t="s">
        <v>19</v>
      </c>
      <c r="K2" s="2" t="s">
        <v>20</v>
      </c>
      <c r="L2" s="2" t="s">
        <v>21</v>
      </c>
      <c r="M2" s="2" t="s">
        <v>22</v>
      </c>
      <c r="N2" t="str">
        <f>B2&amp;" "&amp;C2</f>
        <v>Ananya Khan</v>
      </c>
      <c r="O2" s="8">
        <f>H2+I2</f>
        <v>77500</v>
      </c>
      <c r="P2">
        <f ca="1">DATEDIF(G2,TODAY(),"Y")</f>
        <v>11</v>
      </c>
      <c r="Q2" t="str">
        <f>IF(H2&gt;=100000,"A",IF(H2&gt;=60000,"B","C"))</f>
        <v>B</v>
      </c>
    </row>
    <row r="3" spans="1:19" x14ac:dyDescent="0.35">
      <c r="A3" s="2" t="s">
        <v>23</v>
      </c>
      <c r="B3" s="2" t="s">
        <v>24</v>
      </c>
      <c r="C3" s="2" t="s">
        <v>25</v>
      </c>
      <c r="D3" s="2" t="s">
        <v>16</v>
      </c>
      <c r="E3" s="2" t="s">
        <v>26</v>
      </c>
      <c r="F3" s="2" t="s">
        <v>27</v>
      </c>
      <c r="G3" s="3">
        <v>42376</v>
      </c>
      <c r="H3" s="4">
        <v>91500</v>
      </c>
      <c r="I3" s="4">
        <v>9200</v>
      </c>
      <c r="J3" s="2" t="s">
        <v>28</v>
      </c>
      <c r="K3" s="2" t="s">
        <v>29</v>
      </c>
      <c r="L3" s="2" t="s">
        <v>21</v>
      </c>
      <c r="M3" s="2" t="s">
        <v>287</v>
      </c>
      <c r="N3" t="str">
        <f t="shared" ref="N3:N66" si="0">B3&amp;" "&amp;C3</f>
        <v>Divya Mehta</v>
      </c>
      <c r="O3" s="8">
        <f t="shared" ref="O3:O66" si="1">H3+I3</f>
        <v>100700</v>
      </c>
      <c r="P3">
        <f t="shared" ref="P3:P66" ca="1" si="2">DATEDIF(G3,TODAY(),"Y")</f>
        <v>10</v>
      </c>
      <c r="Q3" t="str">
        <f t="shared" ref="Q3:Q66" si="3">IF(H3&gt;=100000,"A",IF(H3&gt;=60000,"B","C"))</f>
        <v>B</v>
      </c>
    </row>
    <row r="4" spans="1:19" x14ac:dyDescent="0.35">
      <c r="A4" s="2" t="s">
        <v>30</v>
      </c>
      <c r="B4" s="2" t="s">
        <v>31</v>
      </c>
      <c r="C4" s="2" t="s">
        <v>32</v>
      </c>
      <c r="D4" s="2" t="s">
        <v>16</v>
      </c>
      <c r="E4" s="2" t="s">
        <v>33</v>
      </c>
      <c r="F4" s="2" t="s">
        <v>34</v>
      </c>
      <c r="G4" s="3">
        <v>44285</v>
      </c>
      <c r="H4" s="4">
        <v>43000</v>
      </c>
      <c r="I4" s="4">
        <v>0</v>
      </c>
      <c r="J4" s="2" t="s">
        <v>28</v>
      </c>
      <c r="K4" s="2" t="s">
        <v>35</v>
      </c>
      <c r="L4" s="2" t="s">
        <v>21</v>
      </c>
      <c r="M4" s="2" t="s">
        <v>287</v>
      </c>
      <c r="N4" t="str">
        <f t="shared" si="0"/>
        <v>Priya Das</v>
      </c>
      <c r="O4" s="8">
        <f t="shared" si="1"/>
        <v>43000</v>
      </c>
      <c r="P4">
        <f t="shared" ca="1" si="2"/>
        <v>5</v>
      </c>
      <c r="Q4" t="str">
        <f t="shared" si="3"/>
        <v>C</v>
      </c>
      <c r="S4" t="s">
        <v>302</v>
      </c>
    </row>
    <row r="5" spans="1:19" x14ac:dyDescent="0.3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3">
        <v>44621</v>
      </c>
      <c r="H5" s="4">
        <v>82500</v>
      </c>
      <c r="I5" s="4">
        <v>0</v>
      </c>
      <c r="J5" s="2" t="s">
        <v>28</v>
      </c>
      <c r="K5" s="2" t="s">
        <v>42</v>
      </c>
      <c r="L5" s="2" t="s">
        <v>21</v>
      </c>
      <c r="M5" s="2" t="s">
        <v>287</v>
      </c>
      <c r="N5" t="str">
        <f t="shared" si="0"/>
        <v>Rahul Patel</v>
      </c>
      <c r="O5" s="8">
        <f t="shared" si="1"/>
        <v>82500</v>
      </c>
      <c r="P5">
        <f t="shared" ca="1" si="2"/>
        <v>4</v>
      </c>
      <c r="Q5" t="str">
        <f t="shared" si="3"/>
        <v>B</v>
      </c>
      <c r="S5">
        <f>COUNTA(Employees!A2:A101)</f>
        <v>100</v>
      </c>
    </row>
    <row r="6" spans="1:19" x14ac:dyDescent="0.35">
      <c r="A6" s="2" t="s">
        <v>43</v>
      </c>
      <c r="B6" s="2" t="s">
        <v>44</v>
      </c>
      <c r="C6" s="2" t="s">
        <v>45</v>
      </c>
      <c r="D6" s="2" t="s">
        <v>16</v>
      </c>
      <c r="E6" s="2" t="s">
        <v>40</v>
      </c>
      <c r="F6" s="2" t="s">
        <v>41</v>
      </c>
      <c r="G6" s="3">
        <v>45188</v>
      </c>
      <c r="H6" s="4">
        <v>73000</v>
      </c>
      <c r="I6" s="4">
        <v>0</v>
      </c>
      <c r="J6" s="2" t="s">
        <v>28</v>
      </c>
      <c r="K6" s="2" t="s">
        <v>42</v>
      </c>
      <c r="L6" s="2" t="s">
        <v>46</v>
      </c>
      <c r="M6" s="2" t="s">
        <v>47</v>
      </c>
      <c r="N6" t="str">
        <f t="shared" si="0"/>
        <v>Emma Nair</v>
      </c>
      <c r="O6" s="8">
        <f t="shared" si="1"/>
        <v>73000</v>
      </c>
      <c r="P6">
        <f t="shared" ca="1" si="2"/>
        <v>3</v>
      </c>
      <c r="Q6" t="str">
        <f t="shared" si="3"/>
        <v>B</v>
      </c>
      <c r="S6" t="s">
        <v>303</v>
      </c>
    </row>
    <row r="7" spans="1:19" x14ac:dyDescent="0.35">
      <c r="A7" s="2" t="s">
        <v>48</v>
      </c>
      <c r="B7" s="2" t="s">
        <v>49</v>
      </c>
      <c r="C7" s="2" t="s">
        <v>50</v>
      </c>
      <c r="D7" s="2" t="s">
        <v>39</v>
      </c>
      <c r="E7" s="2" t="s">
        <v>51</v>
      </c>
      <c r="F7" s="2" t="s">
        <v>52</v>
      </c>
      <c r="G7" s="3">
        <v>44032</v>
      </c>
      <c r="H7" s="4">
        <v>74500</v>
      </c>
      <c r="I7" s="4">
        <v>0</v>
      </c>
      <c r="J7" s="2" t="s">
        <v>19</v>
      </c>
      <c r="K7" s="2" t="s">
        <v>53</v>
      </c>
      <c r="L7" s="2" t="s">
        <v>21</v>
      </c>
      <c r="M7" s="2" t="s">
        <v>54</v>
      </c>
      <c r="N7" t="str">
        <f t="shared" si="0"/>
        <v>Nikhil Davis</v>
      </c>
      <c r="O7" s="8">
        <f t="shared" si="1"/>
        <v>74500</v>
      </c>
      <c r="P7">
        <f t="shared" ca="1" si="2"/>
        <v>6</v>
      </c>
      <c r="Q7" t="str">
        <f t="shared" si="3"/>
        <v>B</v>
      </c>
      <c r="S7">
        <f>COUNTIF(L2:L101,"ACTIVE")</f>
        <v>90</v>
      </c>
    </row>
    <row r="8" spans="1:19" x14ac:dyDescent="0.35">
      <c r="A8" s="2" t="s">
        <v>55</v>
      </c>
      <c r="B8" s="2" t="s">
        <v>56</v>
      </c>
      <c r="C8" s="2" t="s">
        <v>57</v>
      </c>
      <c r="D8" s="2" t="s">
        <v>39</v>
      </c>
      <c r="E8" s="2" t="s">
        <v>17</v>
      </c>
      <c r="F8" s="2" t="s">
        <v>58</v>
      </c>
      <c r="G8" s="3">
        <v>42165</v>
      </c>
      <c r="H8" s="4">
        <v>62500</v>
      </c>
      <c r="I8" s="4">
        <v>0</v>
      </c>
      <c r="J8" s="2" t="s">
        <v>19</v>
      </c>
      <c r="K8" s="2" t="s">
        <v>53</v>
      </c>
      <c r="L8" s="2" t="s">
        <v>21</v>
      </c>
      <c r="M8" s="2" t="s">
        <v>59</v>
      </c>
      <c r="N8" t="str">
        <f t="shared" si="0"/>
        <v>Lucas Smith</v>
      </c>
      <c r="O8" s="8">
        <f t="shared" si="1"/>
        <v>62500</v>
      </c>
      <c r="P8">
        <f t="shared" ca="1" si="2"/>
        <v>11</v>
      </c>
      <c r="Q8" t="str">
        <f t="shared" si="3"/>
        <v>B</v>
      </c>
      <c r="S8" t="s">
        <v>304</v>
      </c>
    </row>
    <row r="9" spans="1:19" x14ac:dyDescent="0.35">
      <c r="A9" s="2" t="s">
        <v>60</v>
      </c>
      <c r="B9" s="2" t="s">
        <v>61</v>
      </c>
      <c r="C9" s="2" t="s">
        <v>32</v>
      </c>
      <c r="D9" s="2" t="s">
        <v>16</v>
      </c>
      <c r="E9" s="2" t="s">
        <v>17</v>
      </c>
      <c r="F9" s="2" t="s">
        <v>58</v>
      </c>
      <c r="G9" s="3">
        <v>45445</v>
      </c>
      <c r="H9" s="4">
        <v>39500</v>
      </c>
      <c r="I9" s="4">
        <v>0</v>
      </c>
      <c r="J9" s="2" t="s">
        <v>62</v>
      </c>
      <c r="K9" s="2" t="s">
        <v>29</v>
      </c>
      <c r="L9" s="2" t="s">
        <v>21</v>
      </c>
      <c r="M9" s="2" t="s">
        <v>63</v>
      </c>
      <c r="N9" t="str">
        <f t="shared" si="0"/>
        <v>Riya Das</v>
      </c>
      <c r="O9" s="8">
        <f t="shared" si="1"/>
        <v>39500</v>
      </c>
      <c r="P9">
        <f t="shared" ca="1" si="2"/>
        <v>2</v>
      </c>
      <c r="Q9" t="str">
        <f t="shared" si="3"/>
        <v>C</v>
      </c>
      <c r="S9">
        <f>COUNTIF(L2:L101,"RESIGNED")</f>
        <v>9</v>
      </c>
    </row>
    <row r="10" spans="1:19" x14ac:dyDescent="0.35">
      <c r="A10" s="2" t="s">
        <v>64</v>
      </c>
      <c r="B10" s="2" t="s">
        <v>65</v>
      </c>
      <c r="C10" s="2" t="s">
        <v>38</v>
      </c>
      <c r="D10" s="2" t="s">
        <v>16</v>
      </c>
      <c r="E10" s="2" t="s">
        <v>17</v>
      </c>
      <c r="F10" s="2" t="s">
        <v>18</v>
      </c>
      <c r="G10" s="3">
        <v>43426</v>
      </c>
      <c r="H10" s="4">
        <v>79000</v>
      </c>
      <c r="I10" s="4" t="s">
        <v>310</v>
      </c>
      <c r="J10" s="2" t="s">
        <v>62</v>
      </c>
      <c r="K10" s="2" t="s">
        <v>53</v>
      </c>
      <c r="L10" s="2" t="s">
        <v>21</v>
      </c>
      <c r="M10" s="2" t="s">
        <v>66</v>
      </c>
      <c r="N10" t="str">
        <f t="shared" si="0"/>
        <v>Kavya Patel</v>
      </c>
      <c r="O10" s="8" t="e">
        <f t="shared" si="1"/>
        <v>#VALUE!</v>
      </c>
      <c r="P10">
        <f t="shared" ca="1" si="2"/>
        <v>7</v>
      </c>
      <c r="Q10" t="str">
        <f t="shared" si="3"/>
        <v>B</v>
      </c>
      <c r="S10" t="s">
        <v>305</v>
      </c>
    </row>
    <row r="11" spans="1:19" x14ac:dyDescent="0.35">
      <c r="A11" s="2" t="s">
        <v>67</v>
      </c>
      <c r="B11" s="2" t="s">
        <v>68</v>
      </c>
      <c r="C11" s="2" t="s">
        <v>50</v>
      </c>
      <c r="D11" s="2" t="s">
        <v>39</v>
      </c>
      <c r="E11" s="2" t="s">
        <v>33</v>
      </c>
      <c r="F11" s="2" t="s">
        <v>34</v>
      </c>
      <c r="G11" s="3">
        <v>43606</v>
      </c>
      <c r="H11" s="4">
        <v>66000</v>
      </c>
      <c r="I11" s="4">
        <v>3300</v>
      </c>
      <c r="J11" s="2" t="s">
        <v>69</v>
      </c>
      <c r="K11" s="2" t="s">
        <v>53</v>
      </c>
      <c r="L11" s="2" t="s">
        <v>21</v>
      </c>
      <c r="M11" s="2" t="s">
        <v>70</v>
      </c>
      <c r="N11" t="str">
        <f t="shared" si="0"/>
        <v>Liam Davis</v>
      </c>
      <c r="O11" s="8">
        <f t="shared" si="1"/>
        <v>69300</v>
      </c>
      <c r="P11">
        <f t="shared" ca="1" si="2"/>
        <v>7</v>
      </c>
      <c r="Q11" t="str">
        <f t="shared" si="3"/>
        <v>B</v>
      </c>
      <c r="S11">
        <f>COUNTIF(L2:L101,"ON LEAVE")</f>
        <v>1</v>
      </c>
    </row>
    <row r="12" spans="1:19" x14ac:dyDescent="0.35">
      <c r="A12" s="2" t="s">
        <v>71</v>
      </c>
      <c r="B12" s="2" t="s">
        <v>72</v>
      </c>
      <c r="C12" s="2" t="s">
        <v>45</v>
      </c>
      <c r="D12" s="2" t="s">
        <v>16</v>
      </c>
      <c r="E12" s="2" t="s">
        <v>17</v>
      </c>
      <c r="F12" s="2" t="s">
        <v>73</v>
      </c>
      <c r="G12" s="3">
        <v>42623</v>
      </c>
      <c r="H12" s="4">
        <v>50000</v>
      </c>
      <c r="I12" s="4">
        <v>0</v>
      </c>
      <c r="J12" s="2" t="s">
        <v>28</v>
      </c>
      <c r="K12" s="2" t="s">
        <v>53</v>
      </c>
      <c r="L12" s="2" t="s">
        <v>21</v>
      </c>
      <c r="M12" s="2" t="s">
        <v>74</v>
      </c>
      <c r="N12" t="str">
        <f t="shared" si="0"/>
        <v>Pooja Nair</v>
      </c>
      <c r="O12" s="8">
        <f t="shared" si="1"/>
        <v>50000</v>
      </c>
      <c r="P12">
        <f t="shared" ca="1" si="2"/>
        <v>10</v>
      </c>
      <c r="Q12" t="str">
        <f t="shared" si="3"/>
        <v>C</v>
      </c>
      <c r="S12" t="s">
        <v>306</v>
      </c>
    </row>
    <row r="13" spans="1:19" x14ac:dyDescent="0.35">
      <c r="A13" s="2" t="s">
        <v>75</v>
      </c>
      <c r="B13" s="2" t="s">
        <v>76</v>
      </c>
      <c r="C13" s="2" t="s">
        <v>38</v>
      </c>
      <c r="D13" s="2" t="s">
        <v>39</v>
      </c>
      <c r="E13" s="2" t="s">
        <v>17</v>
      </c>
      <c r="F13" s="2" t="s">
        <v>73</v>
      </c>
      <c r="G13" s="3">
        <v>43517</v>
      </c>
      <c r="H13" s="4">
        <v>70000</v>
      </c>
      <c r="I13" s="4">
        <v>7000</v>
      </c>
      <c r="J13" s="2" t="s">
        <v>28</v>
      </c>
      <c r="K13" s="2" t="s">
        <v>35</v>
      </c>
      <c r="L13" s="2" t="s">
        <v>77</v>
      </c>
      <c r="M13" s="2" t="s">
        <v>78</v>
      </c>
      <c r="N13" t="str">
        <f t="shared" si="0"/>
        <v>Vikram Patel</v>
      </c>
      <c r="O13" s="8">
        <f t="shared" si="1"/>
        <v>77000</v>
      </c>
      <c r="P13">
        <f t="shared" ca="1" si="2"/>
        <v>7</v>
      </c>
      <c r="Q13" t="str">
        <f t="shared" si="3"/>
        <v>B</v>
      </c>
      <c r="S13" s="13">
        <f>$S$9/$S$5</f>
        <v>0.09</v>
      </c>
    </row>
    <row r="14" spans="1:19" x14ac:dyDescent="0.35">
      <c r="A14" s="2" t="s">
        <v>79</v>
      </c>
      <c r="B14" s="2" t="s">
        <v>24</v>
      </c>
      <c r="C14" s="2" t="s">
        <v>15</v>
      </c>
      <c r="D14" s="2" t="s">
        <v>16</v>
      </c>
      <c r="E14" s="2" t="s">
        <v>17</v>
      </c>
      <c r="F14" s="2" t="s">
        <v>73</v>
      </c>
      <c r="G14" s="3">
        <v>42429</v>
      </c>
      <c r="H14" s="4">
        <v>61000</v>
      </c>
      <c r="I14" s="4">
        <v>3000</v>
      </c>
      <c r="J14" s="2" t="s">
        <v>19</v>
      </c>
      <c r="K14" s="2" t="s">
        <v>42</v>
      </c>
      <c r="L14" s="2" t="s">
        <v>21</v>
      </c>
      <c r="M14" s="2" t="s">
        <v>287</v>
      </c>
      <c r="N14" t="str">
        <f t="shared" si="0"/>
        <v>Divya Khan</v>
      </c>
      <c r="O14" s="8">
        <f t="shared" si="1"/>
        <v>64000</v>
      </c>
      <c r="P14">
        <f t="shared" ca="1" si="2"/>
        <v>10</v>
      </c>
      <c r="Q14" t="str">
        <f t="shared" si="3"/>
        <v>B</v>
      </c>
      <c r="S14" t="s">
        <v>307</v>
      </c>
    </row>
    <row r="15" spans="1:19" x14ac:dyDescent="0.35">
      <c r="A15" s="2" t="s">
        <v>80</v>
      </c>
      <c r="B15" s="2" t="s">
        <v>81</v>
      </c>
      <c r="C15" s="2" t="s">
        <v>82</v>
      </c>
      <c r="D15" s="2" t="s">
        <v>39</v>
      </c>
      <c r="E15" s="2" t="s">
        <v>40</v>
      </c>
      <c r="F15" s="2" t="s">
        <v>83</v>
      </c>
      <c r="G15" s="3">
        <v>42424</v>
      </c>
      <c r="H15" s="4">
        <v>48500</v>
      </c>
      <c r="I15" s="4">
        <v>0</v>
      </c>
      <c r="J15" s="2" t="s">
        <v>28</v>
      </c>
      <c r="K15" s="2" t="s">
        <v>42</v>
      </c>
      <c r="L15" s="2" t="s">
        <v>21</v>
      </c>
      <c r="M15" s="2" t="s">
        <v>84</v>
      </c>
      <c r="N15" t="str">
        <f t="shared" si="0"/>
        <v>Imran Sharma</v>
      </c>
      <c r="O15" s="8">
        <f t="shared" si="1"/>
        <v>48500</v>
      </c>
      <c r="P15">
        <f t="shared" ca="1" si="2"/>
        <v>10</v>
      </c>
      <c r="Q15" t="str">
        <f t="shared" si="3"/>
        <v>C</v>
      </c>
      <c r="S15" s="8">
        <f>AVERAGE($H$3:$H$101)</f>
        <v>70393.939393939392</v>
      </c>
    </row>
    <row r="16" spans="1:19" x14ac:dyDescent="0.35">
      <c r="A16" s="2" t="s">
        <v>85</v>
      </c>
      <c r="B16" s="2" t="s">
        <v>14</v>
      </c>
      <c r="C16" s="2" t="s">
        <v>86</v>
      </c>
      <c r="D16" s="2" t="s">
        <v>16</v>
      </c>
      <c r="E16" s="2" t="s">
        <v>51</v>
      </c>
      <c r="F16" s="2" t="s">
        <v>87</v>
      </c>
      <c r="G16" s="3">
        <v>44471</v>
      </c>
      <c r="H16" s="4">
        <v>63000</v>
      </c>
      <c r="I16" s="4">
        <v>0</v>
      </c>
      <c r="J16" s="2" t="s">
        <v>28</v>
      </c>
      <c r="K16" s="2" t="s">
        <v>53</v>
      </c>
      <c r="L16" s="2" t="s">
        <v>21</v>
      </c>
      <c r="M16" s="2" t="s">
        <v>88</v>
      </c>
      <c r="N16" t="str">
        <f t="shared" si="0"/>
        <v>Ananya Taylor</v>
      </c>
      <c r="O16" s="8">
        <f t="shared" si="1"/>
        <v>63000</v>
      </c>
      <c r="P16">
        <f t="shared" ca="1" si="2"/>
        <v>5</v>
      </c>
      <c r="Q16" t="str">
        <f t="shared" si="3"/>
        <v>B</v>
      </c>
      <c r="S16" t="s">
        <v>308</v>
      </c>
    </row>
    <row r="17" spans="1:19" x14ac:dyDescent="0.35">
      <c r="A17" s="2" t="s">
        <v>89</v>
      </c>
      <c r="B17" s="2" t="s">
        <v>76</v>
      </c>
      <c r="C17" s="2" t="s">
        <v>90</v>
      </c>
      <c r="D17" s="2" t="s">
        <v>39</v>
      </c>
      <c r="E17" s="2" t="s">
        <v>26</v>
      </c>
      <c r="F17" s="2" t="s">
        <v>91</v>
      </c>
      <c r="G17" s="3">
        <v>45037</v>
      </c>
      <c r="H17" s="4">
        <v>105000</v>
      </c>
      <c r="I17" s="4">
        <v>0</v>
      </c>
      <c r="J17" s="2" t="s">
        <v>28</v>
      </c>
      <c r="K17" s="2" t="s">
        <v>35</v>
      </c>
      <c r="L17" s="2" t="s">
        <v>21</v>
      </c>
      <c r="M17" s="2" t="s">
        <v>92</v>
      </c>
      <c r="N17" t="str">
        <f t="shared" si="0"/>
        <v>Vikram Johnson</v>
      </c>
      <c r="O17" s="8">
        <f t="shared" si="1"/>
        <v>105000</v>
      </c>
      <c r="P17">
        <f t="shared" ca="1" si="2"/>
        <v>3</v>
      </c>
      <c r="Q17" t="str">
        <f t="shared" si="3"/>
        <v>A</v>
      </c>
      <c r="S17" s="8">
        <f>SUM($H$13:$H$101)</f>
        <v>6307500</v>
      </c>
    </row>
    <row r="18" spans="1:19" x14ac:dyDescent="0.35">
      <c r="A18" s="2" t="s">
        <v>93</v>
      </c>
      <c r="B18" s="2" t="s">
        <v>94</v>
      </c>
      <c r="C18" s="2" t="s">
        <v>90</v>
      </c>
      <c r="D18" s="2" t="s">
        <v>39</v>
      </c>
      <c r="E18" s="2" t="s">
        <v>40</v>
      </c>
      <c r="F18" s="2" t="s">
        <v>83</v>
      </c>
      <c r="G18" s="3">
        <v>44638</v>
      </c>
      <c r="H18" s="4">
        <v>64500</v>
      </c>
      <c r="I18" s="4">
        <v>0</v>
      </c>
      <c r="J18" s="2" t="s">
        <v>19</v>
      </c>
      <c r="K18" s="2" t="s">
        <v>29</v>
      </c>
      <c r="L18" s="2" t="s">
        <v>21</v>
      </c>
      <c r="M18" s="2" t="s">
        <v>95</v>
      </c>
      <c r="N18" t="str">
        <f t="shared" si="0"/>
        <v>Noah Johnson</v>
      </c>
      <c r="O18" s="8">
        <f t="shared" si="1"/>
        <v>64500</v>
      </c>
      <c r="P18">
        <f t="shared" ca="1" si="2"/>
        <v>4</v>
      </c>
      <c r="Q18" t="str">
        <f t="shared" si="3"/>
        <v>B</v>
      </c>
      <c r="S18" t="s">
        <v>309</v>
      </c>
    </row>
    <row r="19" spans="1:19" x14ac:dyDescent="0.35">
      <c r="A19" s="2" t="s">
        <v>96</v>
      </c>
      <c r="B19" s="2" t="s">
        <v>44</v>
      </c>
      <c r="C19" s="2" t="s">
        <v>15</v>
      </c>
      <c r="D19" s="2" t="s">
        <v>16</v>
      </c>
      <c r="E19" s="2" t="s">
        <v>33</v>
      </c>
      <c r="F19" s="2" t="s">
        <v>34</v>
      </c>
      <c r="G19" s="3">
        <v>45328</v>
      </c>
      <c r="H19" s="4">
        <v>80000</v>
      </c>
      <c r="I19" s="4">
        <v>0</v>
      </c>
      <c r="J19" s="2" t="s">
        <v>19</v>
      </c>
      <c r="K19" s="2" t="s">
        <v>97</v>
      </c>
      <c r="L19" s="2" t="s">
        <v>21</v>
      </c>
      <c r="M19" s="2" t="s">
        <v>98</v>
      </c>
      <c r="N19" t="str">
        <f t="shared" si="0"/>
        <v>Emma Khan</v>
      </c>
      <c r="O19" s="8">
        <f t="shared" si="1"/>
        <v>80000</v>
      </c>
      <c r="P19">
        <f t="shared" ca="1" si="2"/>
        <v>2</v>
      </c>
      <c r="Q19" t="str">
        <f t="shared" si="3"/>
        <v>B</v>
      </c>
      <c r="S19" s="8">
        <f>SUM($I$2:$I$101)</f>
        <v>184700</v>
      </c>
    </row>
    <row r="20" spans="1:19" x14ac:dyDescent="0.35">
      <c r="A20" s="2" t="s">
        <v>99</v>
      </c>
      <c r="B20" s="2" t="s">
        <v>100</v>
      </c>
      <c r="C20" s="2" t="s">
        <v>101</v>
      </c>
      <c r="D20" s="2" t="s">
        <v>16</v>
      </c>
      <c r="E20" s="2" t="s">
        <v>26</v>
      </c>
      <c r="F20" s="2" t="s">
        <v>102</v>
      </c>
      <c r="G20" s="3">
        <v>45241</v>
      </c>
      <c r="H20" s="4">
        <v>63500</v>
      </c>
      <c r="I20" s="4">
        <v>0</v>
      </c>
      <c r="J20" s="2" t="s">
        <v>28</v>
      </c>
      <c r="K20" s="2" t="s">
        <v>53</v>
      </c>
      <c r="L20" s="2" t="s">
        <v>21</v>
      </c>
      <c r="M20" s="2" t="s">
        <v>103</v>
      </c>
      <c r="N20" t="str">
        <f t="shared" si="0"/>
        <v>Olivia Wilson</v>
      </c>
      <c r="O20" s="8">
        <f t="shared" si="1"/>
        <v>63500</v>
      </c>
      <c r="P20">
        <f t="shared" ca="1" si="2"/>
        <v>2</v>
      </c>
      <c r="Q20" t="str">
        <f t="shared" si="3"/>
        <v>B</v>
      </c>
      <c r="S20" t="s">
        <v>311</v>
      </c>
    </row>
    <row r="21" spans="1:19" x14ac:dyDescent="0.35">
      <c r="A21" s="2" t="s">
        <v>104</v>
      </c>
      <c r="B21" s="2" t="s">
        <v>105</v>
      </c>
      <c r="C21" s="2" t="s">
        <v>82</v>
      </c>
      <c r="D21" s="2" t="s">
        <v>39</v>
      </c>
      <c r="E21" s="2" t="s">
        <v>26</v>
      </c>
      <c r="F21" s="2" t="s">
        <v>106</v>
      </c>
      <c r="G21" s="3">
        <v>43930</v>
      </c>
      <c r="H21" s="4">
        <v>89500</v>
      </c>
      <c r="I21" s="4">
        <v>0</v>
      </c>
      <c r="J21" s="2" t="s">
        <v>28</v>
      </c>
      <c r="K21" s="2" t="s">
        <v>35</v>
      </c>
      <c r="L21" s="2" t="s">
        <v>21</v>
      </c>
      <c r="M21" s="2" t="s">
        <v>107</v>
      </c>
      <c r="N21" t="str">
        <f t="shared" si="0"/>
        <v>Rohan Sharma</v>
      </c>
      <c r="O21" s="8">
        <f t="shared" si="1"/>
        <v>89500</v>
      </c>
      <c r="P21">
        <f t="shared" ca="1" si="2"/>
        <v>6</v>
      </c>
      <c r="Q21" t="str">
        <f t="shared" si="3"/>
        <v>B</v>
      </c>
      <c r="S21" s="14">
        <f ca="1">AVERAGE($P$12:$P$101)</f>
        <v>6.6111111111111107</v>
      </c>
    </row>
    <row r="22" spans="1:19" x14ac:dyDescent="0.35">
      <c r="A22" s="2" t="s">
        <v>108</v>
      </c>
      <c r="B22" s="2" t="s">
        <v>109</v>
      </c>
      <c r="C22" s="2" t="s">
        <v>50</v>
      </c>
      <c r="D22" s="2" t="s">
        <v>16</v>
      </c>
      <c r="E22" s="2" t="s">
        <v>26</v>
      </c>
      <c r="F22" s="2" t="s">
        <v>102</v>
      </c>
      <c r="G22" s="3">
        <v>42496</v>
      </c>
      <c r="H22" s="4">
        <v>146500</v>
      </c>
      <c r="I22" s="4">
        <v>7300</v>
      </c>
      <c r="J22" s="2" t="s">
        <v>19</v>
      </c>
      <c r="K22" s="2" t="s">
        <v>20</v>
      </c>
      <c r="L22" s="2" t="s">
        <v>21</v>
      </c>
      <c r="M22" s="2" t="s">
        <v>110</v>
      </c>
      <c r="N22" t="str">
        <f t="shared" si="0"/>
        <v>Sophia Davis</v>
      </c>
      <c r="O22" s="8">
        <f t="shared" si="1"/>
        <v>153800</v>
      </c>
      <c r="P22">
        <f t="shared" ca="1" si="2"/>
        <v>10</v>
      </c>
      <c r="Q22" t="str">
        <f t="shared" si="3"/>
        <v>A</v>
      </c>
    </row>
    <row r="23" spans="1:19" x14ac:dyDescent="0.35">
      <c r="A23" s="2" t="s">
        <v>111</v>
      </c>
      <c r="B23" s="2" t="s">
        <v>112</v>
      </c>
      <c r="C23" s="2" t="s">
        <v>113</v>
      </c>
      <c r="D23" s="2" t="s">
        <v>16</v>
      </c>
      <c r="E23" s="2" t="s">
        <v>17</v>
      </c>
      <c r="F23" s="2" t="s">
        <v>58</v>
      </c>
      <c r="G23" s="3">
        <v>44973</v>
      </c>
      <c r="H23" s="4">
        <v>40500</v>
      </c>
      <c r="I23" s="4">
        <v>0</v>
      </c>
      <c r="J23" s="2" t="s">
        <v>28</v>
      </c>
      <c r="K23" s="2" t="s">
        <v>29</v>
      </c>
      <c r="L23" s="2" t="s">
        <v>21</v>
      </c>
      <c r="M23" s="2" t="s">
        <v>114</v>
      </c>
      <c r="N23" t="str">
        <f t="shared" si="0"/>
        <v>Meera Reddy</v>
      </c>
      <c r="O23" s="8">
        <f t="shared" si="1"/>
        <v>40500</v>
      </c>
      <c r="P23">
        <f t="shared" ca="1" si="2"/>
        <v>3</v>
      </c>
      <c r="Q23" t="str">
        <f t="shared" si="3"/>
        <v>C</v>
      </c>
    </row>
    <row r="24" spans="1:19" x14ac:dyDescent="0.35">
      <c r="A24" s="2" t="s">
        <v>115</v>
      </c>
      <c r="B24" s="2" t="s">
        <v>44</v>
      </c>
      <c r="C24" s="2" t="s">
        <v>116</v>
      </c>
      <c r="D24" s="2" t="s">
        <v>16</v>
      </c>
      <c r="E24" s="2" t="s">
        <v>51</v>
      </c>
      <c r="F24" s="2" t="s">
        <v>117</v>
      </c>
      <c r="G24" s="3">
        <v>44252</v>
      </c>
      <c r="H24" s="4">
        <v>50000</v>
      </c>
      <c r="I24" s="4">
        <v>5000</v>
      </c>
      <c r="J24" s="2" t="s">
        <v>69</v>
      </c>
      <c r="K24" s="2" t="s">
        <v>35</v>
      </c>
      <c r="L24" s="2" t="s">
        <v>21</v>
      </c>
      <c r="M24" s="2" t="s">
        <v>118</v>
      </c>
      <c r="N24" t="str">
        <f t="shared" si="0"/>
        <v>Emma Gupta</v>
      </c>
      <c r="O24" s="8">
        <f t="shared" si="1"/>
        <v>55000</v>
      </c>
      <c r="P24">
        <f t="shared" ca="1" si="2"/>
        <v>5</v>
      </c>
      <c r="Q24" t="str">
        <f t="shared" si="3"/>
        <v>C</v>
      </c>
    </row>
    <row r="25" spans="1:19" x14ac:dyDescent="0.35">
      <c r="A25" s="2" t="s">
        <v>119</v>
      </c>
      <c r="B25" s="2" t="s">
        <v>120</v>
      </c>
      <c r="C25" s="2" t="s">
        <v>57</v>
      </c>
      <c r="D25" s="2" t="s">
        <v>39</v>
      </c>
      <c r="E25" s="2" t="s">
        <v>33</v>
      </c>
      <c r="F25" s="2" t="s">
        <v>121</v>
      </c>
      <c r="G25" s="3">
        <v>45584</v>
      </c>
      <c r="H25" s="4">
        <v>94000</v>
      </c>
      <c r="I25" s="4">
        <v>0</v>
      </c>
      <c r="J25" s="2" t="s">
        <v>69</v>
      </c>
      <c r="K25" s="2" t="s">
        <v>29</v>
      </c>
      <c r="L25" s="2" t="s">
        <v>21</v>
      </c>
      <c r="M25" s="2" t="s">
        <v>122</v>
      </c>
      <c r="N25" t="str">
        <f t="shared" si="0"/>
        <v>Karan Smith</v>
      </c>
      <c r="O25" s="8">
        <f t="shared" si="1"/>
        <v>94000</v>
      </c>
      <c r="P25">
        <f t="shared" ca="1" si="2"/>
        <v>2</v>
      </c>
      <c r="Q25" t="str">
        <f t="shared" si="3"/>
        <v>B</v>
      </c>
    </row>
    <row r="26" spans="1:19" x14ac:dyDescent="0.35">
      <c r="A26" s="2" t="s">
        <v>123</v>
      </c>
      <c r="B26" s="2" t="s">
        <v>124</v>
      </c>
      <c r="C26" s="2" t="s">
        <v>50</v>
      </c>
      <c r="D26" s="2" t="s">
        <v>16</v>
      </c>
      <c r="E26" s="2" t="s">
        <v>33</v>
      </c>
      <c r="F26" s="2" t="s">
        <v>34</v>
      </c>
      <c r="G26" s="3">
        <v>45035</v>
      </c>
      <c r="H26" s="4">
        <v>44000</v>
      </c>
      <c r="I26" s="4">
        <v>0</v>
      </c>
      <c r="J26" s="2" t="s">
        <v>19</v>
      </c>
      <c r="K26" s="2" t="s">
        <v>42</v>
      </c>
      <c r="L26" s="2" t="s">
        <v>21</v>
      </c>
      <c r="M26" s="2" t="s">
        <v>125</v>
      </c>
      <c r="N26" t="str">
        <f t="shared" si="0"/>
        <v>Ava Davis</v>
      </c>
      <c r="O26" s="8">
        <f t="shared" si="1"/>
        <v>44000</v>
      </c>
      <c r="P26">
        <f t="shared" ca="1" si="2"/>
        <v>3</v>
      </c>
      <c r="Q26" t="str">
        <f t="shared" si="3"/>
        <v>C</v>
      </c>
    </row>
    <row r="27" spans="1:19" x14ac:dyDescent="0.35">
      <c r="A27" s="2" t="s">
        <v>126</v>
      </c>
      <c r="B27" s="2" t="s">
        <v>127</v>
      </c>
      <c r="C27" s="2" t="s">
        <v>45</v>
      </c>
      <c r="D27" s="2" t="s">
        <v>39</v>
      </c>
      <c r="E27" s="2" t="s">
        <v>40</v>
      </c>
      <c r="F27" s="2" t="s">
        <v>83</v>
      </c>
      <c r="G27" s="3">
        <v>45580</v>
      </c>
      <c r="H27" s="4">
        <v>46000</v>
      </c>
      <c r="I27" s="4">
        <v>2300</v>
      </c>
      <c r="J27" s="2" t="s">
        <v>19</v>
      </c>
      <c r="K27" s="2" t="s">
        <v>97</v>
      </c>
      <c r="L27" s="2" t="s">
        <v>21</v>
      </c>
      <c r="M27" s="2" t="s">
        <v>128</v>
      </c>
      <c r="N27" t="str">
        <f t="shared" si="0"/>
        <v>Sanjay Nair</v>
      </c>
      <c r="O27" s="8">
        <f t="shared" si="1"/>
        <v>48300</v>
      </c>
      <c r="P27">
        <f t="shared" ca="1" si="2"/>
        <v>2</v>
      </c>
      <c r="Q27" t="str">
        <f t="shared" si="3"/>
        <v>C</v>
      </c>
    </row>
    <row r="28" spans="1:19" x14ac:dyDescent="0.35">
      <c r="A28" s="2" t="s">
        <v>129</v>
      </c>
      <c r="B28" s="2" t="s">
        <v>127</v>
      </c>
      <c r="C28" s="2" t="s">
        <v>38</v>
      </c>
      <c r="D28" s="2" t="s">
        <v>39</v>
      </c>
      <c r="E28" s="2" t="s">
        <v>26</v>
      </c>
      <c r="F28" s="2" t="s">
        <v>91</v>
      </c>
      <c r="G28" s="3">
        <v>44799</v>
      </c>
      <c r="H28" s="4">
        <v>102500</v>
      </c>
      <c r="I28" s="4">
        <v>10200</v>
      </c>
      <c r="J28" s="2" t="s">
        <v>28</v>
      </c>
      <c r="K28" s="2" t="s">
        <v>42</v>
      </c>
      <c r="L28" s="2" t="s">
        <v>21</v>
      </c>
      <c r="M28" s="2" t="s">
        <v>130</v>
      </c>
      <c r="N28" t="str">
        <f t="shared" si="0"/>
        <v>Sanjay Patel</v>
      </c>
      <c r="O28" s="8">
        <f t="shared" si="1"/>
        <v>112700</v>
      </c>
      <c r="P28">
        <f t="shared" ca="1" si="2"/>
        <v>4</v>
      </c>
      <c r="Q28" t="str">
        <f t="shared" si="3"/>
        <v>A</v>
      </c>
    </row>
    <row r="29" spans="1:19" x14ac:dyDescent="0.35">
      <c r="A29" s="2" t="s">
        <v>131</v>
      </c>
      <c r="B29" s="2" t="s">
        <v>31</v>
      </c>
      <c r="C29" s="2" t="s">
        <v>57</v>
      </c>
      <c r="D29" s="2" t="s">
        <v>16</v>
      </c>
      <c r="E29" s="2" t="s">
        <v>26</v>
      </c>
      <c r="F29" s="2" t="s">
        <v>91</v>
      </c>
      <c r="G29" s="3">
        <v>43857</v>
      </c>
      <c r="H29" s="4">
        <v>126500</v>
      </c>
      <c r="I29" s="4">
        <v>12600</v>
      </c>
      <c r="J29" s="2" t="s">
        <v>69</v>
      </c>
      <c r="K29" s="2" t="s">
        <v>35</v>
      </c>
      <c r="L29" s="2" t="s">
        <v>46</v>
      </c>
      <c r="M29" s="2" t="s">
        <v>287</v>
      </c>
      <c r="N29" t="str">
        <f t="shared" si="0"/>
        <v>Priya Smith</v>
      </c>
      <c r="O29" s="8">
        <f t="shared" si="1"/>
        <v>139100</v>
      </c>
      <c r="P29">
        <f t="shared" ca="1" si="2"/>
        <v>6</v>
      </c>
      <c r="Q29" t="str">
        <f t="shared" si="3"/>
        <v>A</v>
      </c>
    </row>
    <row r="30" spans="1:19" x14ac:dyDescent="0.35">
      <c r="A30" s="2" t="s">
        <v>132</v>
      </c>
      <c r="B30" s="2" t="s">
        <v>112</v>
      </c>
      <c r="C30" s="2" t="s">
        <v>15</v>
      </c>
      <c r="D30" s="2" t="s">
        <v>16</v>
      </c>
      <c r="E30" s="2" t="s">
        <v>40</v>
      </c>
      <c r="F30" s="2" t="s">
        <v>133</v>
      </c>
      <c r="G30" s="3">
        <v>45311</v>
      </c>
      <c r="H30" s="4">
        <v>80000</v>
      </c>
      <c r="I30" s="4">
        <v>4000</v>
      </c>
      <c r="J30" s="2" t="s">
        <v>28</v>
      </c>
      <c r="K30" s="2" t="s">
        <v>42</v>
      </c>
      <c r="L30" s="2" t="s">
        <v>21</v>
      </c>
      <c r="M30" s="2" t="s">
        <v>134</v>
      </c>
      <c r="N30" t="str">
        <f t="shared" si="0"/>
        <v>Meera Khan</v>
      </c>
      <c r="O30" s="8">
        <f t="shared" si="1"/>
        <v>84000</v>
      </c>
      <c r="P30">
        <f t="shared" ca="1" si="2"/>
        <v>2</v>
      </c>
      <c r="Q30" t="str">
        <f t="shared" si="3"/>
        <v>B</v>
      </c>
    </row>
    <row r="31" spans="1:19" x14ac:dyDescent="0.35">
      <c r="A31" s="2" t="s">
        <v>135</v>
      </c>
      <c r="B31" s="2" t="s">
        <v>136</v>
      </c>
      <c r="C31" s="2" t="s">
        <v>116</v>
      </c>
      <c r="D31" s="2" t="s">
        <v>16</v>
      </c>
      <c r="E31" s="2" t="s">
        <v>17</v>
      </c>
      <c r="F31" s="2" t="s">
        <v>18</v>
      </c>
      <c r="G31" s="3">
        <v>43299</v>
      </c>
      <c r="H31" s="4">
        <v>64000</v>
      </c>
      <c r="I31" s="4">
        <v>0</v>
      </c>
      <c r="J31" s="2" t="s">
        <v>19</v>
      </c>
      <c r="K31" s="2" t="s">
        <v>35</v>
      </c>
      <c r="L31" s="2" t="s">
        <v>21</v>
      </c>
      <c r="M31" s="2" t="s">
        <v>137</v>
      </c>
      <c r="N31" t="str">
        <f t="shared" si="0"/>
        <v>Sneha Gupta</v>
      </c>
      <c r="O31" s="8">
        <f t="shared" si="1"/>
        <v>64000</v>
      </c>
      <c r="P31">
        <f t="shared" ca="1" si="2"/>
        <v>8</v>
      </c>
      <c r="Q31" t="str">
        <f t="shared" si="3"/>
        <v>B</v>
      </c>
    </row>
    <row r="32" spans="1:19" x14ac:dyDescent="0.35">
      <c r="A32" s="2" t="s">
        <v>138</v>
      </c>
      <c r="B32" s="2" t="s">
        <v>14</v>
      </c>
      <c r="C32" s="2" t="s">
        <v>25</v>
      </c>
      <c r="D32" s="2" t="s">
        <v>16</v>
      </c>
      <c r="E32" s="2" t="s">
        <v>51</v>
      </c>
      <c r="F32" s="2" t="s">
        <v>52</v>
      </c>
      <c r="G32" s="3">
        <v>43920</v>
      </c>
      <c r="H32" s="4">
        <v>49000</v>
      </c>
      <c r="I32" s="4">
        <v>0</v>
      </c>
      <c r="J32" s="2" t="s">
        <v>19</v>
      </c>
      <c r="K32" s="2" t="s">
        <v>35</v>
      </c>
      <c r="L32" s="2" t="s">
        <v>21</v>
      </c>
      <c r="M32" s="2" t="s">
        <v>139</v>
      </c>
      <c r="N32" t="str">
        <f t="shared" si="0"/>
        <v>Ananya Mehta</v>
      </c>
      <c r="O32" s="8">
        <f t="shared" si="1"/>
        <v>49000</v>
      </c>
      <c r="P32">
        <f t="shared" ca="1" si="2"/>
        <v>6</v>
      </c>
      <c r="Q32" t="str">
        <f t="shared" si="3"/>
        <v>C</v>
      </c>
    </row>
    <row r="33" spans="1:17" x14ac:dyDescent="0.35">
      <c r="A33" s="2" t="s">
        <v>140</v>
      </c>
      <c r="B33" s="2" t="s">
        <v>141</v>
      </c>
      <c r="C33" s="2" t="s">
        <v>101</v>
      </c>
      <c r="D33" s="2" t="s">
        <v>16</v>
      </c>
      <c r="E33" s="2" t="s">
        <v>17</v>
      </c>
      <c r="F33" s="2" t="s">
        <v>73</v>
      </c>
      <c r="G33" s="3">
        <v>43730</v>
      </c>
      <c r="H33" s="4">
        <v>57000</v>
      </c>
      <c r="I33" s="4">
        <v>0</v>
      </c>
      <c r="J33" s="2" t="s">
        <v>28</v>
      </c>
      <c r="K33" s="2" t="s">
        <v>35</v>
      </c>
      <c r="L33" s="2" t="s">
        <v>21</v>
      </c>
      <c r="M33" s="2" t="s">
        <v>142</v>
      </c>
      <c r="N33" t="str">
        <f t="shared" si="0"/>
        <v>Isha Wilson</v>
      </c>
      <c r="O33" s="8">
        <f t="shared" si="1"/>
        <v>57000</v>
      </c>
      <c r="P33">
        <f t="shared" ca="1" si="2"/>
        <v>7</v>
      </c>
      <c r="Q33" t="str">
        <f t="shared" si="3"/>
        <v>C</v>
      </c>
    </row>
    <row r="34" spans="1:17" x14ac:dyDescent="0.35">
      <c r="A34" s="2" t="s">
        <v>143</v>
      </c>
      <c r="B34" s="2" t="s">
        <v>120</v>
      </c>
      <c r="C34" s="2" t="s">
        <v>25</v>
      </c>
      <c r="D34" s="2" t="s">
        <v>39</v>
      </c>
      <c r="E34" s="2" t="s">
        <v>51</v>
      </c>
      <c r="F34" s="2" t="s">
        <v>52</v>
      </c>
      <c r="G34" s="3">
        <v>44560</v>
      </c>
      <c r="H34" s="4">
        <v>74000</v>
      </c>
      <c r="I34" s="4">
        <v>0</v>
      </c>
      <c r="J34" s="2" t="s">
        <v>28</v>
      </c>
      <c r="K34" s="2" t="s">
        <v>20</v>
      </c>
      <c r="L34" s="2" t="s">
        <v>21</v>
      </c>
      <c r="M34" s="2" t="s">
        <v>144</v>
      </c>
      <c r="N34" t="str">
        <f t="shared" si="0"/>
        <v>Karan Mehta</v>
      </c>
      <c r="O34" s="8">
        <f t="shared" si="1"/>
        <v>74000</v>
      </c>
      <c r="P34">
        <f t="shared" ca="1" si="2"/>
        <v>4</v>
      </c>
      <c r="Q34" t="str">
        <f t="shared" si="3"/>
        <v>B</v>
      </c>
    </row>
    <row r="35" spans="1:17" x14ac:dyDescent="0.35">
      <c r="A35" s="2" t="s">
        <v>145</v>
      </c>
      <c r="B35" s="2" t="s">
        <v>65</v>
      </c>
      <c r="C35" s="2" t="s">
        <v>146</v>
      </c>
      <c r="D35" s="2" t="s">
        <v>16</v>
      </c>
      <c r="E35" s="2" t="s">
        <v>26</v>
      </c>
      <c r="F35" s="2" t="s">
        <v>91</v>
      </c>
      <c r="G35" s="3">
        <v>43112</v>
      </c>
      <c r="H35" s="4">
        <v>84000</v>
      </c>
      <c r="I35" s="4">
        <v>0</v>
      </c>
      <c r="J35" s="2" t="s">
        <v>19</v>
      </c>
      <c r="K35" s="2" t="s">
        <v>29</v>
      </c>
      <c r="L35" s="2" t="s">
        <v>21</v>
      </c>
      <c r="M35" s="2" t="s">
        <v>147</v>
      </c>
      <c r="N35" t="str">
        <f t="shared" si="0"/>
        <v>Kavya Brown</v>
      </c>
      <c r="O35" s="8">
        <f t="shared" si="1"/>
        <v>84000</v>
      </c>
      <c r="P35">
        <f t="shared" ca="1" si="2"/>
        <v>8</v>
      </c>
      <c r="Q35" t="str">
        <f t="shared" si="3"/>
        <v>B</v>
      </c>
    </row>
    <row r="36" spans="1:17" x14ac:dyDescent="0.35">
      <c r="A36" s="2" t="s">
        <v>148</v>
      </c>
      <c r="B36" s="2" t="s">
        <v>100</v>
      </c>
      <c r="C36" s="2" t="s">
        <v>82</v>
      </c>
      <c r="D36" s="2" t="s">
        <v>16</v>
      </c>
      <c r="E36" s="2" t="s">
        <v>51</v>
      </c>
      <c r="F36" s="2" t="s">
        <v>117</v>
      </c>
      <c r="G36" s="3">
        <v>43148</v>
      </c>
      <c r="H36" s="4">
        <v>46000</v>
      </c>
      <c r="I36" s="4">
        <v>0</v>
      </c>
      <c r="J36" s="2" t="s">
        <v>19</v>
      </c>
      <c r="K36" s="2" t="s">
        <v>20</v>
      </c>
      <c r="L36" s="2" t="s">
        <v>21</v>
      </c>
      <c r="M36" s="2" t="s">
        <v>149</v>
      </c>
      <c r="N36" t="str">
        <f t="shared" si="0"/>
        <v>Olivia Sharma</v>
      </c>
      <c r="O36" s="8">
        <f t="shared" si="1"/>
        <v>46000</v>
      </c>
      <c r="P36">
        <f t="shared" ca="1" si="2"/>
        <v>8</v>
      </c>
      <c r="Q36" t="str">
        <f t="shared" si="3"/>
        <v>C</v>
      </c>
    </row>
    <row r="37" spans="1:17" x14ac:dyDescent="0.35">
      <c r="A37" s="2" t="s">
        <v>150</v>
      </c>
      <c r="B37" s="2" t="s">
        <v>136</v>
      </c>
      <c r="C37" s="2" t="s">
        <v>50</v>
      </c>
      <c r="D37" s="2" t="s">
        <v>16</v>
      </c>
      <c r="E37" s="2" t="s">
        <v>40</v>
      </c>
      <c r="F37" s="2" t="s">
        <v>133</v>
      </c>
      <c r="G37" s="3">
        <v>42915</v>
      </c>
      <c r="H37" s="4">
        <v>101000</v>
      </c>
      <c r="I37" s="4">
        <v>0</v>
      </c>
      <c r="J37" s="2" t="s">
        <v>28</v>
      </c>
      <c r="K37" s="2" t="s">
        <v>29</v>
      </c>
      <c r="L37" s="2" t="s">
        <v>21</v>
      </c>
      <c r="M37" s="2" t="s">
        <v>287</v>
      </c>
      <c r="N37" t="str">
        <f t="shared" si="0"/>
        <v>Sneha Davis</v>
      </c>
      <c r="O37" s="8">
        <f t="shared" si="1"/>
        <v>101000</v>
      </c>
      <c r="P37">
        <f t="shared" ca="1" si="2"/>
        <v>9</v>
      </c>
      <c r="Q37" t="str">
        <f t="shared" si="3"/>
        <v>A</v>
      </c>
    </row>
    <row r="38" spans="1:17" x14ac:dyDescent="0.35">
      <c r="A38" s="2" t="s">
        <v>151</v>
      </c>
      <c r="B38" s="2" t="s">
        <v>152</v>
      </c>
      <c r="C38" s="2" t="s">
        <v>32</v>
      </c>
      <c r="D38" s="2" t="s">
        <v>39</v>
      </c>
      <c r="E38" s="2" t="s">
        <v>40</v>
      </c>
      <c r="F38" s="2" t="s">
        <v>41</v>
      </c>
      <c r="G38" s="3">
        <v>42981</v>
      </c>
      <c r="H38" s="4">
        <v>91500</v>
      </c>
      <c r="I38" s="4">
        <v>0</v>
      </c>
      <c r="J38" s="2" t="s">
        <v>62</v>
      </c>
      <c r="K38" s="2" t="s">
        <v>42</v>
      </c>
      <c r="L38" s="2" t="s">
        <v>21</v>
      </c>
      <c r="M38" s="2" t="s">
        <v>153</v>
      </c>
      <c r="N38" t="str">
        <f t="shared" si="0"/>
        <v>Aarav Das</v>
      </c>
      <c r="O38" s="8">
        <f t="shared" si="1"/>
        <v>91500</v>
      </c>
      <c r="P38">
        <f t="shared" ca="1" si="2"/>
        <v>9</v>
      </c>
      <c r="Q38" t="str">
        <f t="shared" si="3"/>
        <v>B</v>
      </c>
    </row>
    <row r="39" spans="1:17" x14ac:dyDescent="0.35">
      <c r="A39" s="2" t="s">
        <v>154</v>
      </c>
      <c r="B39" s="2" t="s">
        <v>112</v>
      </c>
      <c r="C39" s="2" t="s">
        <v>82</v>
      </c>
      <c r="D39" s="2" t="s">
        <v>16</v>
      </c>
      <c r="E39" s="2" t="s">
        <v>40</v>
      </c>
      <c r="F39" s="2" t="s">
        <v>41</v>
      </c>
      <c r="G39" s="3">
        <v>42733</v>
      </c>
      <c r="H39" s="4">
        <v>89000</v>
      </c>
      <c r="I39" s="4">
        <v>0</v>
      </c>
      <c r="J39" s="2" t="s">
        <v>28</v>
      </c>
      <c r="K39" s="2" t="s">
        <v>29</v>
      </c>
      <c r="L39" s="2" t="s">
        <v>21</v>
      </c>
      <c r="M39" s="2" t="s">
        <v>155</v>
      </c>
      <c r="N39" t="str">
        <f t="shared" si="0"/>
        <v>Meera Sharma</v>
      </c>
      <c r="O39" s="8">
        <f t="shared" si="1"/>
        <v>89000</v>
      </c>
      <c r="P39">
        <f t="shared" ca="1" si="2"/>
        <v>9</v>
      </c>
      <c r="Q39" t="str">
        <f t="shared" si="3"/>
        <v>B</v>
      </c>
    </row>
    <row r="40" spans="1:17" x14ac:dyDescent="0.35">
      <c r="A40" s="2" t="s">
        <v>156</v>
      </c>
      <c r="B40" s="2" t="s">
        <v>127</v>
      </c>
      <c r="C40" s="2" t="s">
        <v>146</v>
      </c>
      <c r="D40" s="2" t="s">
        <v>39</v>
      </c>
      <c r="E40" s="2" t="s">
        <v>17</v>
      </c>
      <c r="F40" s="2" t="s">
        <v>58</v>
      </c>
      <c r="G40" s="3">
        <v>43836</v>
      </c>
      <c r="H40" s="4">
        <v>51000</v>
      </c>
      <c r="I40" s="4">
        <v>0</v>
      </c>
      <c r="J40" s="2" t="s">
        <v>19</v>
      </c>
      <c r="K40" s="2" t="s">
        <v>53</v>
      </c>
      <c r="L40" s="2" t="s">
        <v>21</v>
      </c>
      <c r="M40" s="2" t="s">
        <v>157</v>
      </c>
      <c r="N40" t="str">
        <f t="shared" si="0"/>
        <v>Sanjay Brown</v>
      </c>
      <c r="O40" s="8">
        <f t="shared" si="1"/>
        <v>51000</v>
      </c>
      <c r="P40">
        <f t="shared" ca="1" si="2"/>
        <v>6</v>
      </c>
      <c r="Q40" t="str">
        <f t="shared" si="3"/>
        <v>C</v>
      </c>
    </row>
    <row r="41" spans="1:17" x14ac:dyDescent="0.35">
      <c r="A41" s="2" t="s">
        <v>158</v>
      </c>
      <c r="B41" s="2" t="s">
        <v>105</v>
      </c>
      <c r="C41" s="2" t="s">
        <v>113</v>
      </c>
      <c r="D41" s="2" t="s">
        <v>39</v>
      </c>
      <c r="E41" s="2" t="s">
        <v>51</v>
      </c>
      <c r="F41" s="2" t="s">
        <v>52</v>
      </c>
      <c r="G41" s="3">
        <v>45414</v>
      </c>
      <c r="H41" s="4">
        <v>53000</v>
      </c>
      <c r="I41" s="4">
        <v>0</v>
      </c>
      <c r="J41" s="2" t="s">
        <v>28</v>
      </c>
      <c r="K41" s="2" t="s">
        <v>20</v>
      </c>
      <c r="L41" s="2" t="s">
        <v>21</v>
      </c>
      <c r="M41" s="2" t="s">
        <v>287</v>
      </c>
      <c r="N41" t="str">
        <f t="shared" si="0"/>
        <v>Rohan Reddy</v>
      </c>
      <c r="O41" s="8">
        <f t="shared" si="1"/>
        <v>53000</v>
      </c>
      <c r="P41">
        <f t="shared" ca="1" si="2"/>
        <v>2</v>
      </c>
      <c r="Q41" t="str">
        <f t="shared" si="3"/>
        <v>C</v>
      </c>
    </row>
    <row r="42" spans="1:17" x14ac:dyDescent="0.35">
      <c r="A42" s="2" t="s">
        <v>159</v>
      </c>
      <c r="B42" s="2" t="s">
        <v>24</v>
      </c>
      <c r="C42" s="2" t="s">
        <v>32</v>
      </c>
      <c r="D42" s="2" t="s">
        <v>16</v>
      </c>
      <c r="E42" s="2" t="s">
        <v>33</v>
      </c>
      <c r="F42" s="2" t="s">
        <v>160</v>
      </c>
      <c r="G42" s="3">
        <v>42351</v>
      </c>
      <c r="H42" s="4">
        <v>43500</v>
      </c>
      <c r="I42" s="4">
        <v>2200</v>
      </c>
      <c r="J42" s="2" t="s">
        <v>19</v>
      </c>
      <c r="K42" s="2" t="s">
        <v>97</v>
      </c>
      <c r="L42" s="2" t="s">
        <v>21</v>
      </c>
      <c r="M42" s="2" t="s">
        <v>161</v>
      </c>
      <c r="N42" t="str">
        <f t="shared" si="0"/>
        <v>Divya Das</v>
      </c>
      <c r="O42" s="8">
        <f t="shared" si="1"/>
        <v>45700</v>
      </c>
      <c r="P42">
        <f t="shared" ca="1" si="2"/>
        <v>10</v>
      </c>
      <c r="Q42" t="str">
        <f t="shared" si="3"/>
        <v>C</v>
      </c>
    </row>
    <row r="43" spans="1:17" x14ac:dyDescent="0.35">
      <c r="A43" s="2" t="s">
        <v>162</v>
      </c>
      <c r="B43" s="2" t="s">
        <v>76</v>
      </c>
      <c r="C43" s="2" t="s">
        <v>25</v>
      </c>
      <c r="D43" s="2" t="s">
        <v>39</v>
      </c>
      <c r="E43" s="2" t="s">
        <v>51</v>
      </c>
      <c r="F43" s="2" t="s">
        <v>52</v>
      </c>
      <c r="G43" s="3">
        <v>42019</v>
      </c>
      <c r="H43" s="4">
        <v>69000</v>
      </c>
      <c r="I43" s="4">
        <v>0</v>
      </c>
      <c r="J43" s="2" t="s">
        <v>28</v>
      </c>
      <c r="K43" s="2" t="s">
        <v>53</v>
      </c>
      <c r="L43" s="2" t="s">
        <v>21</v>
      </c>
      <c r="M43" s="2" t="s">
        <v>163</v>
      </c>
      <c r="N43" t="str">
        <f t="shared" si="0"/>
        <v>Vikram Mehta</v>
      </c>
      <c r="O43" s="8">
        <f t="shared" si="1"/>
        <v>69000</v>
      </c>
      <c r="P43">
        <f t="shared" ca="1" si="2"/>
        <v>11</v>
      </c>
      <c r="Q43" t="str">
        <f t="shared" si="3"/>
        <v>B</v>
      </c>
    </row>
    <row r="44" spans="1:17" x14ac:dyDescent="0.35">
      <c r="A44" s="2" t="s">
        <v>164</v>
      </c>
      <c r="B44" s="2" t="s">
        <v>81</v>
      </c>
      <c r="C44" s="2" t="s">
        <v>82</v>
      </c>
      <c r="D44" s="2" t="s">
        <v>39</v>
      </c>
      <c r="E44" s="2" t="s">
        <v>33</v>
      </c>
      <c r="F44" s="2" t="s">
        <v>160</v>
      </c>
      <c r="G44" s="3">
        <v>43378</v>
      </c>
      <c r="H44" s="4">
        <v>40000</v>
      </c>
      <c r="I44" s="4">
        <v>2000</v>
      </c>
      <c r="J44" s="2" t="s">
        <v>69</v>
      </c>
      <c r="K44" s="2" t="s">
        <v>53</v>
      </c>
      <c r="L44" s="2" t="s">
        <v>21</v>
      </c>
      <c r="M44" s="2" t="s">
        <v>165</v>
      </c>
      <c r="N44" t="str">
        <f t="shared" si="0"/>
        <v>Imran Sharma</v>
      </c>
      <c r="O44" s="8">
        <f t="shared" si="1"/>
        <v>42000</v>
      </c>
      <c r="P44">
        <f t="shared" ca="1" si="2"/>
        <v>8</v>
      </c>
      <c r="Q44" t="str">
        <f t="shared" si="3"/>
        <v>C</v>
      </c>
    </row>
    <row r="45" spans="1:17" x14ac:dyDescent="0.35">
      <c r="A45" s="2" t="s">
        <v>166</v>
      </c>
      <c r="B45" s="2" t="s">
        <v>76</v>
      </c>
      <c r="C45" s="2" t="s">
        <v>113</v>
      </c>
      <c r="D45" s="2" t="s">
        <v>39</v>
      </c>
      <c r="E45" s="2" t="s">
        <v>17</v>
      </c>
      <c r="F45" s="2" t="s">
        <v>58</v>
      </c>
      <c r="G45" s="3">
        <v>42175</v>
      </c>
      <c r="H45" s="4">
        <v>73500</v>
      </c>
      <c r="I45" s="4">
        <v>3700</v>
      </c>
      <c r="J45" s="2" t="s">
        <v>69</v>
      </c>
      <c r="K45" s="2" t="s">
        <v>35</v>
      </c>
      <c r="L45" s="2" t="s">
        <v>21</v>
      </c>
      <c r="M45" s="2" t="s">
        <v>167</v>
      </c>
      <c r="N45" t="str">
        <f t="shared" si="0"/>
        <v>Vikram Reddy</v>
      </c>
      <c r="O45" s="8">
        <f t="shared" si="1"/>
        <v>77200</v>
      </c>
      <c r="P45">
        <f t="shared" ca="1" si="2"/>
        <v>11</v>
      </c>
      <c r="Q45" t="str">
        <f t="shared" si="3"/>
        <v>B</v>
      </c>
    </row>
    <row r="46" spans="1:17" x14ac:dyDescent="0.35">
      <c r="A46" s="2" t="s">
        <v>168</v>
      </c>
      <c r="B46" s="2" t="s">
        <v>109</v>
      </c>
      <c r="C46" s="2" t="s">
        <v>50</v>
      </c>
      <c r="D46" s="2" t="s">
        <v>16</v>
      </c>
      <c r="E46" s="2" t="s">
        <v>51</v>
      </c>
      <c r="F46" s="2" t="s">
        <v>117</v>
      </c>
      <c r="G46" s="3">
        <v>44029</v>
      </c>
      <c r="H46" s="4">
        <v>87000</v>
      </c>
      <c r="I46" s="4">
        <v>0</v>
      </c>
      <c r="J46" s="2" t="s">
        <v>28</v>
      </c>
      <c r="K46" s="2" t="s">
        <v>35</v>
      </c>
      <c r="L46" s="2" t="s">
        <v>21</v>
      </c>
      <c r="M46" s="2" t="s">
        <v>287</v>
      </c>
      <c r="N46" t="str">
        <f t="shared" si="0"/>
        <v>Sophia Davis</v>
      </c>
      <c r="O46" s="8">
        <f t="shared" si="1"/>
        <v>87000</v>
      </c>
      <c r="P46">
        <f t="shared" ca="1" si="2"/>
        <v>6</v>
      </c>
      <c r="Q46" t="str">
        <f t="shared" si="3"/>
        <v>B</v>
      </c>
    </row>
    <row r="47" spans="1:17" x14ac:dyDescent="0.35">
      <c r="A47" s="2" t="s">
        <v>169</v>
      </c>
      <c r="B47" s="2" t="s">
        <v>56</v>
      </c>
      <c r="C47" s="2" t="s">
        <v>25</v>
      </c>
      <c r="D47" s="2" t="s">
        <v>39</v>
      </c>
      <c r="E47" s="2" t="s">
        <v>40</v>
      </c>
      <c r="F47" s="2" t="s">
        <v>83</v>
      </c>
      <c r="G47" s="3">
        <v>44070</v>
      </c>
      <c r="H47" s="4">
        <v>94500</v>
      </c>
      <c r="I47" s="4">
        <v>9400</v>
      </c>
      <c r="J47" s="2" t="s">
        <v>19</v>
      </c>
      <c r="K47" s="2" t="s">
        <v>20</v>
      </c>
      <c r="L47" s="2" t="s">
        <v>21</v>
      </c>
      <c r="M47" s="2" t="s">
        <v>170</v>
      </c>
      <c r="N47" t="str">
        <f t="shared" si="0"/>
        <v>Lucas Mehta</v>
      </c>
      <c r="O47" s="8">
        <f t="shared" si="1"/>
        <v>103900</v>
      </c>
      <c r="P47">
        <f t="shared" ca="1" si="2"/>
        <v>6</v>
      </c>
      <c r="Q47" t="str">
        <f t="shared" si="3"/>
        <v>B</v>
      </c>
    </row>
    <row r="48" spans="1:17" x14ac:dyDescent="0.35">
      <c r="A48" s="2" t="s">
        <v>171</v>
      </c>
      <c r="B48" s="2" t="s">
        <v>76</v>
      </c>
      <c r="C48" s="2" t="s">
        <v>25</v>
      </c>
      <c r="D48" s="2" t="s">
        <v>39</v>
      </c>
      <c r="E48" s="2" t="s">
        <v>51</v>
      </c>
      <c r="F48" s="2" t="s">
        <v>87</v>
      </c>
      <c r="G48" s="3">
        <v>43547</v>
      </c>
      <c r="H48" s="4">
        <v>47000</v>
      </c>
      <c r="I48" s="4">
        <v>2400</v>
      </c>
      <c r="J48" s="2" t="s">
        <v>28</v>
      </c>
      <c r="K48" s="2" t="s">
        <v>53</v>
      </c>
      <c r="L48" s="2" t="s">
        <v>21</v>
      </c>
      <c r="M48" s="2" t="s">
        <v>172</v>
      </c>
      <c r="N48" t="str">
        <f t="shared" si="0"/>
        <v>Vikram Mehta</v>
      </c>
      <c r="O48" s="8">
        <f t="shared" si="1"/>
        <v>49400</v>
      </c>
      <c r="P48">
        <f t="shared" ca="1" si="2"/>
        <v>7</v>
      </c>
      <c r="Q48" t="str">
        <f t="shared" si="3"/>
        <v>C</v>
      </c>
    </row>
    <row r="49" spans="1:17" x14ac:dyDescent="0.35">
      <c r="A49" s="2" t="s">
        <v>173</v>
      </c>
      <c r="B49" s="2" t="s">
        <v>174</v>
      </c>
      <c r="C49" s="2" t="s">
        <v>175</v>
      </c>
      <c r="D49" s="2" t="s">
        <v>39</v>
      </c>
      <c r="E49" s="2" t="s">
        <v>26</v>
      </c>
      <c r="F49" s="2" t="s">
        <v>102</v>
      </c>
      <c r="G49" s="3">
        <v>44197</v>
      </c>
      <c r="H49" s="4">
        <v>126000</v>
      </c>
      <c r="I49" s="4">
        <v>0</v>
      </c>
      <c r="J49" s="2" t="s">
        <v>19</v>
      </c>
      <c r="K49" s="2" t="s">
        <v>42</v>
      </c>
      <c r="L49" s="2" t="s">
        <v>21</v>
      </c>
      <c r="M49" s="2" t="s">
        <v>176</v>
      </c>
      <c r="N49" t="str">
        <f t="shared" si="0"/>
        <v>Amit Singh</v>
      </c>
      <c r="O49" s="8">
        <f t="shared" si="1"/>
        <v>126000</v>
      </c>
      <c r="P49">
        <f t="shared" ca="1" si="2"/>
        <v>5</v>
      </c>
      <c r="Q49" t="str">
        <f t="shared" si="3"/>
        <v>A</v>
      </c>
    </row>
    <row r="50" spans="1:17" x14ac:dyDescent="0.35">
      <c r="A50" s="2" t="s">
        <v>177</v>
      </c>
      <c r="B50" s="2" t="s">
        <v>105</v>
      </c>
      <c r="C50" s="2" t="s">
        <v>15</v>
      </c>
      <c r="D50" s="2" t="s">
        <v>39</v>
      </c>
      <c r="E50" s="2" t="s">
        <v>17</v>
      </c>
      <c r="F50" s="2" t="s">
        <v>18</v>
      </c>
      <c r="G50" s="3">
        <v>45468</v>
      </c>
      <c r="H50" s="4">
        <v>67500</v>
      </c>
      <c r="I50" s="4">
        <v>3400</v>
      </c>
      <c r="J50" s="2" t="s">
        <v>69</v>
      </c>
      <c r="K50" s="2" t="s">
        <v>29</v>
      </c>
      <c r="L50" s="2" t="s">
        <v>46</v>
      </c>
      <c r="M50" s="2" t="s">
        <v>178</v>
      </c>
      <c r="N50" t="str">
        <f t="shared" si="0"/>
        <v>Rohan Khan</v>
      </c>
      <c r="O50" s="8">
        <f t="shared" si="1"/>
        <v>70900</v>
      </c>
      <c r="P50">
        <f t="shared" ca="1" si="2"/>
        <v>2</v>
      </c>
      <c r="Q50" t="str">
        <f t="shared" si="3"/>
        <v>B</v>
      </c>
    </row>
    <row r="51" spans="1:17" x14ac:dyDescent="0.35">
      <c r="A51" s="2" t="s">
        <v>179</v>
      </c>
      <c r="B51" s="2" t="s">
        <v>81</v>
      </c>
      <c r="C51" s="2" t="s">
        <v>180</v>
      </c>
      <c r="D51" s="2" t="s">
        <v>39</v>
      </c>
      <c r="E51" s="2" t="s">
        <v>51</v>
      </c>
      <c r="F51" s="2" t="s">
        <v>117</v>
      </c>
      <c r="G51" s="3">
        <v>45049</v>
      </c>
      <c r="H51" s="4">
        <v>82500</v>
      </c>
      <c r="I51" s="4">
        <v>0</v>
      </c>
      <c r="J51" s="2" t="s">
        <v>19</v>
      </c>
      <c r="K51" s="2" t="s">
        <v>20</v>
      </c>
      <c r="L51" s="2" t="s">
        <v>21</v>
      </c>
      <c r="M51" s="2" t="s">
        <v>181</v>
      </c>
      <c r="N51" t="str">
        <f t="shared" si="0"/>
        <v>Imran Joshi</v>
      </c>
      <c r="O51" s="8">
        <f t="shared" si="1"/>
        <v>82500</v>
      </c>
      <c r="P51">
        <f t="shared" ca="1" si="2"/>
        <v>3</v>
      </c>
      <c r="Q51" t="str">
        <f t="shared" si="3"/>
        <v>B</v>
      </c>
    </row>
    <row r="52" spans="1:17" x14ac:dyDescent="0.35">
      <c r="A52" s="2" t="s">
        <v>182</v>
      </c>
      <c r="B52" s="2" t="s">
        <v>183</v>
      </c>
      <c r="C52" s="2" t="s">
        <v>15</v>
      </c>
      <c r="D52" s="2" t="s">
        <v>39</v>
      </c>
      <c r="E52" s="2" t="s">
        <v>17</v>
      </c>
      <c r="F52" s="2" t="s">
        <v>73</v>
      </c>
      <c r="G52" s="3">
        <v>44908</v>
      </c>
      <c r="H52" s="4">
        <v>54000</v>
      </c>
      <c r="I52" s="4">
        <v>5400</v>
      </c>
      <c r="J52" s="2" t="s">
        <v>28</v>
      </c>
      <c r="K52" s="2" t="s">
        <v>20</v>
      </c>
      <c r="L52" s="2" t="s">
        <v>21</v>
      </c>
      <c r="M52" s="2" t="s">
        <v>184</v>
      </c>
      <c r="N52" t="str">
        <f t="shared" si="0"/>
        <v>John Khan</v>
      </c>
      <c r="O52" s="8">
        <f t="shared" si="1"/>
        <v>59400</v>
      </c>
      <c r="P52">
        <f t="shared" ca="1" si="2"/>
        <v>3</v>
      </c>
      <c r="Q52" t="str">
        <f t="shared" si="3"/>
        <v>C</v>
      </c>
    </row>
    <row r="53" spans="1:17" x14ac:dyDescent="0.35">
      <c r="A53" s="2" t="s">
        <v>185</v>
      </c>
      <c r="B53" s="2" t="s">
        <v>31</v>
      </c>
      <c r="C53" s="2" t="s">
        <v>15</v>
      </c>
      <c r="D53" s="2" t="s">
        <v>16</v>
      </c>
      <c r="E53" s="2" t="s">
        <v>51</v>
      </c>
      <c r="F53" s="2" t="s">
        <v>52</v>
      </c>
      <c r="G53" s="3">
        <v>42318</v>
      </c>
      <c r="H53" s="4">
        <v>70000</v>
      </c>
      <c r="I53" s="4">
        <v>7000</v>
      </c>
      <c r="J53" s="2" t="s">
        <v>62</v>
      </c>
      <c r="K53" s="2" t="s">
        <v>29</v>
      </c>
      <c r="L53" s="2" t="s">
        <v>21</v>
      </c>
      <c r="M53" s="2" t="s">
        <v>186</v>
      </c>
      <c r="N53" t="str">
        <f t="shared" si="0"/>
        <v>Priya Khan</v>
      </c>
      <c r="O53" s="8">
        <f t="shared" si="1"/>
        <v>77000</v>
      </c>
      <c r="P53">
        <f t="shared" ca="1" si="2"/>
        <v>10</v>
      </c>
      <c r="Q53" t="str">
        <f t="shared" si="3"/>
        <v>B</v>
      </c>
    </row>
    <row r="54" spans="1:17" x14ac:dyDescent="0.35">
      <c r="A54" s="2" t="s">
        <v>187</v>
      </c>
      <c r="B54" s="2" t="s">
        <v>76</v>
      </c>
      <c r="C54" s="2" t="s">
        <v>90</v>
      </c>
      <c r="D54" s="2" t="s">
        <v>39</v>
      </c>
      <c r="E54" s="2" t="s">
        <v>40</v>
      </c>
      <c r="F54" s="2" t="s">
        <v>83</v>
      </c>
      <c r="G54" s="3">
        <v>43477</v>
      </c>
      <c r="H54" s="4">
        <v>62000</v>
      </c>
      <c r="I54" s="4">
        <v>0</v>
      </c>
      <c r="J54" s="2" t="s">
        <v>19</v>
      </c>
      <c r="K54" s="2" t="s">
        <v>97</v>
      </c>
      <c r="L54" s="2" t="s">
        <v>21</v>
      </c>
      <c r="M54" s="2" t="s">
        <v>188</v>
      </c>
      <c r="N54" t="str">
        <f t="shared" si="0"/>
        <v>Vikram Johnson</v>
      </c>
      <c r="O54" s="8">
        <f t="shared" si="1"/>
        <v>62000</v>
      </c>
      <c r="P54">
        <f t="shared" ca="1" si="2"/>
        <v>7</v>
      </c>
      <c r="Q54" t="str">
        <f t="shared" si="3"/>
        <v>B</v>
      </c>
    </row>
    <row r="55" spans="1:17" x14ac:dyDescent="0.35">
      <c r="A55" s="2" t="s">
        <v>189</v>
      </c>
      <c r="B55" s="2" t="s">
        <v>24</v>
      </c>
      <c r="C55" s="2" t="s">
        <v>90</v>
      </c>
      <c r="D55" s="2" t="s">
        <v>16</v>
      </c>
      <c r="E55" s="2" t="s">
        <v>26</v>
      </c>
      <c r="F55" s="2" t="s">
        <v>106</v>
      </c>
      <c r="G55" s="3">
        <v>42019</v>
      </c>
      <c r="H55" s="4">
        <v>81000</v>
      </c>
      <c r="I55" s="4">
        <v>4000</v>
      </c>
      <c r="J55" s="2" t="s">
        <v>19</v>
      </c>
      <c r="K55" s="2" t="s">
        <v>53</v>
      </c>
      <c r="L55" s="2" t="s">
        <v>21</v>
      </c>
      <c r="M55" s="2" t="s">
        <v>190</v>
      </c>
      <c r="N55" t="str">
        <f t="shared" si="0"/>
        <v>Divya Johnson</v>
      </c>
      <c r="O55" s="8">
        <f t="shared" si="1"/>
        <v>85000</v>
      </c>
      <c r="P55">
        <f t="shared" ca="1" si="2"/>
        <v>11</v>
      </c>
      <c r="Q55" t="str">
        <f t="shared" si="3"/>
        <v>B</v>
      </c>
    </row>
    <row r="56" spans="1:17" x14ac:dyDescent="0.35">
      <c r="A56" s="2" t="s">
        <v>191</v>
      </c>
      <c r="B56" s="2" t="s">
        <v>192</v>
      </c>
      <c r="C56" s="2" t="s">
        <v>82</v>
      </c>
      <c r="D56" s="2" t="s">
        <v>39</v>
      </c>
      <c r="E56" s="2" t="s">
        <v>51</v>
      </c>
      <c r="F56" s="2" t="s">
        <v>117</v>
      </c>
      <c r="G56" s="3">
        <v>43334</v>
      </c>
      <c r="H56" s="4">
        <v>40000</v>
      </c>
      <c r="I56" s="4">
        <v>0</v>
      </c>
      <c r="J56" s="2" t="s">
        <v>19</v>
      </c>
      <c r="K56" s="2" t="s">
        <v>53</v>
      </c>
      <c r="L56" s="2" t="s">
        <v>21</v>
      </c>
      <c r="M56" s="2" t="s">
        <v>193</v>
      </c>
      <c r="N56" t="str">
        <f t="shared" si="0"/>
        <v>Mason Sharma</v>
      </c>
      <c r="O56" s="8">
        <f t="shared" si="1"/>
        <v>40000</v>
      </c>
      <c r="P56">
        <f t="shared" ca="1" si="2"/>
        <v>8</v>
      </c>
      <c r="Q56" t="str">
        <f t="shared" si="3"/>
        <v>C</v>
      </c>
    </row>
    <row r="57" spans="1:17" x14ac:dyDescent="0.35">
      <c r="A57" s="2" t="s">
        <v>194</v>
      </c>
      <c r="B57" s="2" t="s">
        <v>72</v>
      </c>
      <c r="C57" s="2" t="s">
        <v>180</v>
      </c>
      <c r="D57" s="2" t="s">
        <v>16</v>
      </c>
      <c r="E57" s="2" t="s">
        <v>26</v>
      </c>
      <c r="F57" s="2" t="s">
        <v>27</v>
      </c>
      <c r="G57" s="3">
        <v>43603</v>
      </c>
      <c r="H57" s="4">
        <v>111500</v>
      </c>
      <c r="I57" s="4">
        <v>11200</v>
      </c>
      <c r="J57" s="2" t="s">
        <v>69</v>
      </c>
      <c r="K57" s="2" t="s">
        <v>20</v>
      </c>
      <c r="L57" s="2" t="s">
        <v>46</v>
      </c>
      <c r="M57" s="2" t="s">
        <v>195</v>
      </c>
      <c r="N57" t="str">
        <f t="shared" si="0"/>
        <v>Pooja Joshi</v>
      </c>
      <c r="O57" s="8">
        <f t="shared" si="1"/>
        <v>122700</v>
      </c>
      <c r="P57">
        <f t="shared" ca="1" si="2"/>
        <v>7</v>
      </c>
      <c r="Q57" t="str">
        <f t="shared" si="3"/>
        <v>A</v>
      </c>
    </row>
    <row r="58" spans="1:17" x14ac:dyDescent="0.35">
      <c r="A58" s="2" t="s">
        <v>196</v>
      </c>
      <c r="B58" s="2" t="s">
        <v>44</v>
      </c>
      <c r="C58" s="2" t="s">
        <v>82</v>
      </c>
      <c r="D58" s="2" t="s">
        <v>16</v>
      </c>
      <c r="E58" s="2" t="s">
        <v>33</v>
      </c>
      <c r="F58" s="2" t="s">
        <v>34</v>
      </c>
      <c r="G58" s="3">
        <v>43093</v>
      </c>
      <c r="H58" s="4">
        <v>56500</v>
      </c>
      <c r="I58" s="4">
        <v>2800</v>
      </c>
      <c r="J58" s="2" t="s">
        <v>28</v>
      </c>
      <c r="K58" s="2" t="s">
        <v>97</v>
      </c>
      <c r="L58" s="2" t="s">
        <v>21</v>
      </c>
      <c r="M58" s="2" t="s">
        <v>197</v>
      </c>
      <c r="N58" t="str">
        <f t="shared" si="0"/>
        <v>Emma Sharma</v>
      </c>
      <c r="O58" s="8">
        <f t="shared" si="1"/>
        <v>59300</v>
      </c>
      <c r="P58">
        <f t="shared" ca="1" si="2"/>
        <v>8</v>
      </c>
      <c r="Q58" t="str">
        <f t="shared" si="3"/>
        <v>C</v>
      </c>
    </row>
    <row r="59" spans="1:17" x14ac:dyDescent="0.35">
      <c r="A59" s="2" t="s">
        <v>198</v>
      </c>
      <c r="B59" s="2" t="s">
        <v>68</v>
      </c>
      <c r="C59" s="2" t="s">
        <v>86</v>
      </c>
      <c r="D59" s="2" t="s">
        <v>39</v>
      </c>
      <c r="E59" s="2" t="s">
        <v>26</v>
      </c>
      <c r="F59" s="2" t="s">
        <v>27</v>
      </c>
      <c r="G59" s="3">
        <v>45004</v>
      </c>
      <c r="H59" s="4">
        <v>66500</v>
      </c>
      <c r="I59" s="4">
        <v>3300</v>
      </c>
      <c r="J59" s="2" t="s">
        <v>28</v>
      </c>
      <c r="K59" s="2" t="s">
        <v>29</v>
      </c>
      <c r="L59" s="2" t="s">
        <v>21</v>
      </c>
      <c r="M59" s="2" t="s">
        <v>199</v>
      </c>
      <c r="N59" t="str">
        <f t="shared" si="0"/>
        <v>Liam Taylor</v>
      </c>
      <c r="O59" s="8">
        <f t="shared" si="1"/>
        <v>69800</v>
      </c>
      <c r="P59">
        <f t="shared" ca="1" si="2"/>
        <v>3</v>
      </c>
      <c r="Q59" t="str">
        <f t="shared" si="3"/>
        <v>B</v>
      </c>
    </row>
    <row r="60" spans="1:17" x14ac:dyDescent="0.35">
      <c r="A60" s="2" t="s">
        <v>200</v>
      </c>
      <c r="B60" s="2" t="s">
        <v>76</v>
      </c>
      <c r="C60" s="2" t="s">
        <v>146</v>
      </c>
      <c r="D60" s="2" t="s">
        <v>39</v>
      </c>
      <c r="E60" s="2" t="s">
        <v>17</v>
      </c>
      <c r="F60" s="2" t="s">
        <v>58</v>
      </c>
      <c r="G60" s="3">
        <v>43412</v>
      </c>
      <c r="H60" s="4">
        <v>62000</v>
      </c>
      <c r="I60" s="4">
        <v>0</v>
      </c>
      <c r="J60" s="2" t="s">
        <v>28</v>
      </c>
      <c r="K60" s="2" t="s">
        <v>42</v>
      </c>
      <c r="L60" s="2" t="s">
        <v>21</v>
      </c>
      <c r="M60" s="2" t="s">
        <v>201</v>
      </c>
      <c r="N60" t="str">
        <f t="shared" si="0"/>
        <v>Vikram Brown</v>
      </c>
      <c r="O60" s="8">
        <f t="shared" si="1"/>
        <v>62000</v>
      </c>
      <c r="P60">
        <f t="shared" ca="1" si="2"/>
        <v>7</v>
      </c>
      <c r="Q60" t="str">
        <f t="shared" si="3"/>
        <v>B</v>
      </c>
    </row>
    <row r="61" spans="1:17" x14ac:dyDescent="0.35">
      <c r="A61" s="2" t="s">
        <v>202</v>
      </c>
      <c r="B61" s="2" t="s">
        <v>112</v>
      </c>
      <c r="C61" s="2" t="s">
        <v>86</v>
      </c>
      <c r="D61" s="2" t="s">
        <v>16</v>
      </c>
      <c r="E61" s="2" t="s">
        <v>40</v>
      </c>
      <c r="F61" s="2" t="s">
        <v>41</v>
      </c>
      <c r="G61" s="3">
        <v>43620</v>
      </c>
      <c r="H61" s="4">
        <v>89000</v>
      </c>
      <c r="I61" s="4">
        <v>0</v>
      </c>
      <c r="J61" s="2" t="s">
        <v>28</v>
      </c>
      <c r="K61" s="2" t="s">
        <v>42</v>
      </c>
      <c r="L61" s="2" t="s">
        <v>21</v>
      </c>
      <c r="M61" s="2" t="s">
        <v>203</v>
      </c>
      <c r="N61" t="str">
        <f t="shared" si="0"/>
        <v>Meera Taylor</v>
      </c>
      <c r="O61" s="8">
        <f t="shared" si="1"/>
        <v>89000</v>
      </c>
      <c r="P61">
        <f t="shared" ca="1" si="2"/>
        <v>7</v>
      </c>
      <c r="Q61" t="str">
        <f t="shared" si="3"/>
        <v>B</v>
      </c>
    </row>
    <row r="62" spans="1:17" x14ac:dyDescent="0.35">
      <c r="A62" s="2" t="s">
        <v>204</v>
      </c>
      <c r="B62" s="2" t="s">
        <v>205</v>
      </c>
      <c r="C62" s="2" t="s">
        <v>57</v>
      </c>
      <c r="D62" s="2" t="s">
        <v>16</v>
      </c>
      <c r="E62" s="2" t="s">
        <v>51</v>
      </c>
      <c r="F62" s="2" t="s">
        <v>117</v>
      </c>
      <c r="G62" s="3">
        <v>43848</v>
      </c>
      <c r="H62" s="4">
        <v>90000</v>
      </c>
      <c r="I62" s="4">
        <v>4500</v>
      </c>
      <c r="J62" s="2" t="s">
        <v>69</v>
      </c>
      <c r="K62" s="2" t="s">
        <v>20</v>
      </c>
      <c r="L62" s="2" t="s">
        <v>21</v>
      </c>
      <c r="M62" s="2" t="s">
        <v>287</v>
      </c>
      <c r="N62" t="str">
        <f t="shared" si="0"/>
        <v>Mia Smith</v>
      </c>
      <c r="O62" s="8">
        <f t="shared" si="1"/>
        <v>94500</v>
      </c>
      <c r="P62">
        <f t="shared" ca="1" si="2"/>
        <v>6</v>
      </c>
      <c r="Q62" t="str">
        <f t="shared" si="3"/>
        <v>B</v>
      </c>
    </row>
    <row r="63" spans="1:17" x14ac:dyDescent="0.35">
      <c r="A63" s="2" t="s">
        <v>206</v>
      </c>
      <c r="B63" s="2" t="s">
        <v>207</v>
      </c>
      <c r="C63" s="2" t="s">
        <v>50</v>
      </c>
      <c r="D63" s="2" t="s">
        <v>16</v>
      </c>
      <c r="E63" s="2" t="s">
        <v>51</v>
      </c>
      <c r="F63" s="2" t="s">
        <v>117</v>
      </c>
      <c r="G63" s="3">
        <v>45320</v>
      </c>
      <c r="H63" s="4">
        <v>57000</v>
      </c>
      <c r="I63" s="4">
        <v>5700</v>
      </c>
      <c r="J63" s="2" t="s">
        <v>28</v>
      </c>
      <c r="K63" s="2" t="s">
        <v>29</v>
      </c>
      <c r="L63" s="2" t="s">
        <v>21</v>
      </c>
      <c r="M63" s="2" t="s">
        <v>208</v>
      </c>
      <c r="N63" t="str">
        <f t="shared" si="0"/>
        <v>Neha Davis</v>
      </c>
      <c r="O63" s="8">
        <f t="shared" si="1"/>
        <v>62700</v>
      </c>
      <c r="P63">
        <f t="shared" ca="1" si="2"/>
        <v>2</v>
      </c>
      <c r="Q63" t="str">
        <f t="shared" si="3"/>
        <v>C</v>
      </c>
    </row>
    <row r="64" spans="1:17" x14ac:dyDescent="0.35">
      <c r="A64" s="2" t="s">
        <v>209</v>
      </c>
      <c r="B64" s="2" t="s">
        <v>120</v>
      </c>
      <c r="C64" s="2" t="s">
        <v>15</v>
      </c>
      <c r="D64" s="2" t="s">
        <v>39</v>
      </c>
      <c r="E64" s="2" t="s">
        <v>51</v>
      </c>
      <c r="F64" s="2" t="s">
        <v>52</v>
      </c>
      <c r="G64" s="3">
        <v>45085</v>
      </c>
      <c r="H64" s="4">
        <v>62000</v>
      </c>
      <c r="I64" s="4">
        <v>0</v>
      </c>
      <c r="J64" s="2" t="s">
        <v>28</v>
      </c>
      <c r="K64" s="2" t="s">
        <v>53</v>
      </c>
      <c r="L64" s="2" t="s">
        <v>21</v>
      </c>
      <c r="M64" s="2" t="s">
        <v>210</v>
      </c>
      <c r="N64" t="str">
        <f t="shared" si="0"/>
        <v>Karan Khan</v>
      </c>
      <c r="O64" s="8">
        <f t="shared" si="1"/>
        <v>62000</v>
      </c>
      <c r="P64">
        <f t="shared" ca="1" si="2"/>
        <v>3</v>
      </c>
      <c r="Q64" t="str">
        <f t="shared" si="3"/>
        <v>B</v>
      </c>
    </row>
    <row r="65" spans="1:17" x14ac:dyDescent="0.35">
      <c r="A65" s="2" t="s">
        <v>211</v>
      </c>
      <c r="B65" s="2" t="s">
        <v>120</v>
      </c>
      <c r="C65" s="2" t="s">
        <v>113</v>
      </c>
      <c r="D65" s="2" t="s">
        <v>39</v>
      </c>
      <c r="E65" s="2" t="s">
        <v>17</v>
      </c>
      <c r="F65" s="2" t="s">
        <v>18</v>
      </c>
      <c r="G65" s="3">
        <v>43831</v>
      </c>
      <c r="H65" s="4">
        <v>77500</v>
      </c>
      <c r="I65" s="4">
        <v>3900</v>
      </c>
      <c r="J65" s="2" t="s">
        <v>62</v>
      </c>
      <c r="K65" s="2" t="s">
        <v>97</v>
      </c>
      <c r="L65" s="2" t="s">
        <v>21</v>
      </c>
      <c r="M65" s="2" t="s">
        <v>212</v>
      </c>
      <c r="N65" t="str">
        <f t="shared" si="0"/>
        <v>Karan Reddy</v>
      </c>
      <c r="O65" s="8">
        <f t="shared" si="1"/>
        <v>81400</v>
      </c>
      <c r="P65">
        <f t="shared" ca="1" si="2"/>
        <v>6</v>
      </c>
      <c r="Q65" t="str">
        <f t="shared" si="3"/>
        <v>B</v>
      </c>
    </row>
    <row r="66" spans="1:17" x14ac:dyDescent="0.35">
      <c r="A66" s="2" t="s">
        <v>213</v>
      </c>
      <c r="B66" s="2" t="s">
        <v>61</v>
      </c>
      <c r="C66" s="2" t="s">
        <v>101</v>
      </c>
      <c r="D66" s="2" t="s">
        <v>16</v>
      </c>
      <c r="E66" s="2" t="s">
        <v>17</v>
      </c>
      <c r="F66" s="2" t="s">
        <v>18</v>
      </c>
      <c r="G66" s="3">
        <v>42304</v>
      </c>
      <c r="H66" s="4">
        <v>35000</v>
      </c>
      <c r="I66" s="4">
        <v>1800</v>
      </c>
      <c r="J66" s="2" t="s">
        <v>62</v>
      </c>
      <c r="K66" s="2" t="s">
        <v>20</v>
      </c>
      <c r="L66" s="2" t="s">
        <v>46</v>
      </c>
      <c r="M66" s="2" t="s">
        <v>214</v>
      </c>
      <c r="N66" t="str">
        <f t="shared" si="0"/>
        <v>Riya Wilson</v>
      </c>
      <c r="O66" s="8">
        <f t="shared" si="1"/>
        <v>36800</v>
      </c>
      <c r="P66">
        <f t="shared" ca="1" si="2"/>
        <v>11</v>
      </c>
      <c r="Q66" t="str">
        <f t="shared" si="3"/>
        <v>C</v>
      </c>
    </row>
    <row r="67" spans="1:17" x14ac:dyDescent="0.35">
      <c r="A67" s="2" t="s">
        <v>215</v>
      </c>
      <c r="B67" s="2" t="s">
        <v>76</v>
      </c>
      <c r="C67" s="2" t="s">
        <v>101</v>
      </c>
      <c r="D67" s="2" t="s">
        <v>39</v>
      </c>
      <c r="E67" s="2" t="s">
        <v>33</v>
      </c>
      <c r="F67" s="2" t="s">
        <v>160</v>
      </c>
      <c r="G67" s="3">
        <v>44798</v>
      </c>
      <c r="H67" s="4">
        <v>74000</v>
      </c>
      <c r="I67" s="4">
        <v>0</v>
      </c>
      <c r="J67" s="2" t="s">
        <v>62</v>
      </c>
      <c r="K67" s="2" t="s">
        <v>29</v>
      </c>
      <c r="L67" s="2" t="s">
        <v>21</v>
      </c>
      <c r="M67" s="2" t="s">
        <v>216</v>
      </c>
      <c r="N67" t="str">
        <f t="shared" ref="N67:N102" si="4">B67&amp;" "&amp;C67</f>
        <v>Vikram Wilson</v>
      </c>
      <c r="O67" s="8">
        <f t="shared" ref="O67:O101" si="5">H67+I67</f>
        <v>74000</v>
      </c>
      <c r="P67">
        <f t="shared" ref="P67:P101" ca="1" si="6">DATEDIF(G67,TODAY(),"Y")</f>
        <v>4</v>
      </c>
      <c r="Q67" t="str">
        <f t="shared" ref="Q67:Q101" si="7">IF(H67&gt;=100000,"A",IF(H67&gt;=60000,"B","C"))</f>
        <v>B</v>
      </c>
    </row>
    <row r="68" spans="1:17" x14ac:dyDescent="0.35">
      <c r="A68" s="2" t="s">
        <v>217</v>
      </c>
      <c r="B68" s="2" t="s">
        <v>152</v>
      </c>
      <c r="C68" s="2" t="s">
        <v>180</v>
      </c>
      <c r="D68" s="2" t="s">
        <v>39</v>
      </c>
      <c r="E68" s="2" t="s">
        <v>33</v>
      </c>
      <c r="F68" s="2" t="s">
        <v>34</v>
      </c>
      <c r="G68" s="3">
        <v>44337</v>
      </c>
      <c r="H68" s="4">
        <v>55000</v>
      </c>
      <c r="I68" s="4">
        <v>0</v>
      </c>
      <c r="J68" s="2" t="s">
        <v>19</v>
      </c>
      <c r="K68" s="2" t="s">
        <v>35</v>
      </c>
      <c r="L68" s="2" t="s">
        <v>21</v>
      </c>
      <c r="M68" s="2" t="s">
        <v>287</v>
      </c>
      <c r="N68" t="str">
        <f t="shared" si="4"/>
        <v>Aarav Joshi</v>
      </c>
      <c r="O68" s="8">
        <f t="shared" si="5"/>
        <v>55000</v>
      </c>
      <c r="P68">
        <f t="shared" ca="1" si="6"/>
        <v>5</v>
      </c>
      <c r="Q68" t="str">
        <f t="shared" si="7"/>
        <v>C</v>
      </c>
    </row>
    <row r="69" spans="1:17" x14ac:dyDescent="0.35">
      <c r="A69" s="2" t="s">
        <v>218</v>
      </c>
      <c r="B69" s="2" t="s">
        <v>100</v>
      </c>
      <c r="C69" s="2" t="s">
        <v>82</v>
      </c>
      <c r="D69" s="2" t="s">
        <v>16</v>
      </c>
      <c r="E69" s="2" t="s">
        <v>26</v>
      </c>
      <c r="F69" s="2" t="s">
        <v>27</v>
      </c>
      <c r="G69" s="3">
        <v>42293</v>
      </c>
      <c r="H69" s="4">
        <v>73000</v>
      </c>
      <c r="I69" s="4">
        <v>0</v>
      </c>
      <c r="J69" s="2" t="s">
        <v>28</v>
      </c>
      <c r="K69" s="2" t="s">
        <v>29</v>
      </c>
      <c r="L69" s="2" t="s">
        <v>21</v>
      </c>
      <c r="M69" s="2" t="s">
        <v>219</v>
      </c>
      <c r="N69" t="str">
        <f t="shared" si="4"/>
        <v>Olivia Sharma</v>
      </c>
      <c r="O69" s="8">
        <f t="shared" si="5"/>
        <v>73000</v>
      </c>
      <c r="P69">
        <f t="shared" ca="1" si="6"/>
        <v>11</v>
      </c>
      <c r="Q69" t="str">
        <f t="shared" si="7"/>
        <v>B</v>
      </c>
    </row>
    <row r="70" spans="1:17" x14ac:dyDescent="0.35">
      <c r="A70" s="2" t="s">
        <v>220</v>
      </c>
      <c r="B70" s="2" t="s">
        <v>112</v>
      </c>
      <c r="C70" s="2" t="s">
        <v>32</v>
      </c>
      <c r="D70" s="2" t="s">
        <v>16</v>
      </c>
      <c r="E70" s="2" t="s">
        <v>51</v>
      </c>
      <c r="F70" s="2" t="s">
        <v>52</v>
      </c>
      <c r="G70" s="3">
        <v>44645</v>
      </c>
      <c r="H70" s="4">
        <v>60500</v>
      </c>
      <c r="I70" s="4">
        <v>0</v>
      </c>
      <c r="J70" s="2" t="s">
        <v>28</v>
      </c>
      <c r="K70" s="2" t="s">
        <v>20</v>
      </c>
      <c r="L70" s="2" t="s">
        <v>21</v>
      </c>
      <c r="M70" s="2" t="s">
        <v>221</v>
      </c>
      <c r="N70" t="str">
        <f t="shared" si="4"/>
        <v>Meera Das</v>
      </c>
      <c r="O70" s="8">
        <f t="shared" si="5"/>
        <v>60500</v>
      </c>
      <c r="P70">
        <f t="shared" ca="1" si="6"/>
        <v>4</v>
      </c>
      <c r="Q70" t="str">
        <f t="shared" si="7"/>
        <v>B</v>
      </c>
    </row>
    <row r="71" spans="1:17" x14ac:dyDescent="0.35">
      <c r="A71" s="2" t="s">
        <v>222</v>
      </c>
      <c r="B71" s="2" t="s">
        <v>174</v>
      </c>
      <c r="C71" s="2" t="s">
        <v>57</v>
      </c>
      <c r="D71" s="2" t="s">
        <v>39</v>
      </c>
      <c r="E71" s="2" t="s">
        <v>17</v>
      </c>
      <c r="F71" s="2" t="s">
        <v>58</v>
      </c>
      <c r="G71" s="3">
        <v>43058</v>
      </c>
      <c r="H71" s="4">
        <v>40500</v>
      </c>
      <c r="I71" s="4">
        <v>0</v>
      </c>
      <c r="J71" s="2" t="s">
        <v>19</v>
      </c>
      <c r="K71" s="2" t="s">
        <v>97</v>
      </c>
      <c r="L71" s="2" t="s">
        <v>46</v>
      </c>
      <c r="M71" s="2" t="s">
        <v>223</v>
      </c>
      <c r="N71" t="str">
        <f t="shared" si="4"/>
        <v>Amit Smith</v>
      </c>
      <c r="O71" s="8">
        <f t="shared" si="5"/>
        <v>40500</v>
      </c>
      <c r="P71">
        <f t="shared" ca="1" si="6"/>
        <v>8</v>
      </c>
      <c r="Q71" t="str">
        <f t="shared" si="7"/>
        <v>C</v>
      </c>
    </row>
    <row r="72" spans="1:17" x14ac:dyDescent="0.35">
      <c r="A72" s="2" t="s">
        <v>224</v>
      </c>
      <c r="B72" s="2" t="s">
        <v>44</v>
      </c>
      <c r="C72" s="2" t="s">
        <v>32</v>
      </c>
      <c r="D72" s="2" t="s">
        <v>16</v>
      </c>
      <c r="E72" s="2" t="s">
        <v>17</v>
      </c>
      <c r="F72" s="2" t="s">
        <v>18</v>
      </c>
      <c r="G72" s="3">
        <v>42032</v>
      </c>
      <c r="H72" s="4">
        <v>48000</v>
      </c>
      <c r="I72" s="4">
        <v>0</v>
      </c>
      <c r="J72" s="2" t="s">
        <v>19</v>
      </c>
      <c r="K72" s="2" t="s">
        <v>42</v>
      </c>
      <c r="L72" s="2" t="s">
        <v>21</v>
      </c>
      <c r="M72" s="2" t="s">
        <v>225</v>
      </c>
      <c r="N72" t="str">
        <f t="shared" si="4"/>
        <v>Emma Das</v>
      </c>
      <c r="O72" s="8">
        <f t="shared" si="5"/>
        <v>48000</v>
      </c>
      <c r="P72">
        <f t="shared" ca="1" si="6"/>
        <v>11</v>
      </c>
      <c r="Q72" t="str">
        <f t="shared" si="7"/>
        <v>C</v>
      </c>
    </row>
    <row r="73" spans="1:17" x14ac:dyDescent="0.35">
      <c r="A73" s="2" t="s">
        <v>226</v>
      </c>
      <c r="B73" s="2" t="s">
        <v>207</v>
      </c>
      <c r="C73" s="2" t="s">
        <v>86</v>
      </c>
      <c r="D73" s="2" t="s">
        <v>16</v>
      </c>
      <c r="E73" s="2" t="s">
        <v>51</v>
      </c>
      <c r="F73" s="2" t="s">
        <v>87</v>
      </c>
      <c r="G73" s="3">
        <v>43213</v>
      </c>
      <c r="H73" s="4">
        <v>90000</v>
      </c>
      <c r="I73" s="4">
        <v>0</v>
      </c>
      <c r="J73" s="2" t="s">
        <v>62</v>
      </c>
      <c r="K73" s="2" t="s">
        <v>35</v>
      </c>
      <c r="L73" s="2" t="s">
        <v>21</v>
      </c>
      <c r="M73" s="2" t="s">
        <v>227</v>
      </c>
      <c r="N73" t="str">
        <f t="shared" si="4"/>
        <v>Neha Taylor</v>
      </c>
      <c r="O73" s="8">
        <f t="shared" si="5"/>
        <v>90000</v>
      </c>
      <c r="P73">
        <f t="shared" ca="1" si="6"/>
        <v>8</v>
      </c>
      <c r="Q73" t="str">
        <f t="shared" si="7"/>
        <v>B</v>
      </c>
    </row>
    <row r="74" spans="1:17" x14ac:dyDescent="0.35">
      <c r="A74" s="2" t="s">
        <v>228</v>
      </c>
      <c r="B74" s="2" t="s">
        <v>49</v>
      </c>
      <c r="C74" s="2" t="s">
        <v>38</v>
      </c>
      <c r="D74" s="2" t="s">
        <v>39</v>
      </c>
      <c r="E74" s="2" t="s">
        <v>33</v>
      </c>
      <c r="F74" s="2" t="s">
        <v>160</v>
      </c>
      <c r="G74" s="3">
        <v>42227</v>
      </c>
      <c r="H74" s="4">
        <v>66000</v>
      </c>
      <c r="I74" s="4">
        <v>0</v>
      </c>
      <c r="J74" s="2" t="s">
        <v>69</v>
      </c>
      <c r="K74" s="2" t="s">
        <v>97</v>
      </c>
      <c r="L74" s="2" t="s">
        <v>21</v>
      </c>
      <c r="M74" s="2" t="s">
        <v>229</v>
      </c>
      <c r="N74" t="str">
        <f t="shared" si="4"/>
        <v>Nikhil Patel</v>
      </c>
      <c r="O74" s="8">
        <f t="shared" si="5"/>
        <v>66000</v>
      </c>
      <c r="P74">
        <f t="shared" ca="1" si="6"/>
        <v>11</v>
      </c>
      <c r="Q74" t="str">
        <f t="shared" si="7"/>
        <v>B</v>
      </c>
    </row>
    <row r="75" spans="1:17" x14ac:dyDescent="0.35">
      <c r="A75" s="2" t="s">
        <v>230</v>
      </c>
      <c r="B75" s="2" t="s">
        <v>205</v>
      </c>
      <c r="C75" s="2" t="s">
        <v>101</v>
      </c>
      <c r="D75" s="2" t="s">
        <v>16</v>
      </c>
      <c r="E75" s="2" t="s">
        <v>51</v>
      </c>
      <c r="F75" s="2" t="s">
        <v>52</v>
      </c>
      <c r="G75" s="3">
        <v>42468</v>
      </c>
      <c r="H75" s="4">
        <v>88000</v>
      </c>
      <c r="I75" s="4">
        <v>0</v>
      </c>
      <c r="J75" s="2" t="s">
        <v>62</v>
      </c>
      <c r="K75" s="2" t="s">
        <v>53</v>
      </c>
      <c r="L75" s="2" t="s">
        <v>21</v>
      </c>
      <c r="M75" s="2" t="s">
        <v>231</v>
      </c>
      <c r="N75" t="str">
        <f t="shared" si="4"/>
        <v>Mia Wilson</v>
      </c>
      <c r="O75" s="8">
        <f t="shared" si="5"/>
        <v>88000</v>
      </c>
      <c r="P75">
        <f t="shared" ca="1" si="6"/>
        <v>10</v>
      </c>
      <c r="Q75" t="str">
        <f t="shared" si="7"/>
        <v>B</v>
      </c>
    </row>
    <row r="76" spans="1:17" x14ac:dyDescent="0.35">
      <c r="A76" s="2" t="s">
        <v>232</v>
      </c>
      <c r="B76" s="2" t="s">
        <v>124</v>
      </c>
      <c r="C76" s="2" t="s">
        <v>50</v>
      </c>
      <c r="D76" s="2" t="s">
        <v>16</v>
      </c>
      <c r="E76" s="2" t="s">
        <v>51</v>
      </c>
      <c r="F76" s="2" t="s">
        <v>52</v>
      </c>
      <c r="G76" s="3">
        <v>43817</v>
      </c>
      <c r="H76" s="4">
        <v>61500</v>
      </c>
      <c r="I76" s="4">
        <v>0</v>
      </c>
      <c r="J76" s="2" t="s">
        <v>69</v>
      </c>
      <c r="K76" s="2" t="s">
        <v>29</v>
      </c>
      <c r="L76" s="2" t="s">
        <v>21</v>
      </c>
      <c r="M76" s="2" t="s">
        <v>287</v>
      </c>
      <c r="N76" t="str">
        <f t="shared" si="4"/>
        <v>Ava Davis</v>
      </c>
      <c r="O76" s="8">
        <f t="shared" si="5"/>
        <v>61500</v>
      </c>
      <c r="P76">
        <f t="shared" ca="1" si="6"/>
        <v>6</v>
      </c>
      <c r="Q76" t="str">
        <f t="shared" si="7"/>
        <v>B</v>
      </c>
    </row>
    <row r="77" spans="1:17" x14ac:dyDescent="0.35">
      <c r="A77" s="2" t="s">
        <v>233</v>
      </c>
      <c r="B77" s="2" t="s">
        <v>120</v>
      </c>
      <c r="C77" s="2" t="s">
        <v>86</v>
      </c>
      <c r="D77" s="2" t="s">
        <v>39</v>
      </c>
      <c r="E77" s="2" t="s">
        <v>51</v>
      </c>
      <c r="F77" s="2" t="s">
        <v>52</v>
      </c>
      <c r="G77" s="3">
        <v>45370</v>
      </c>
      <c r="H77" s="4">
        <v>90500</v>
      </c>
      <c r="I77" s="4">
        <v>0</v>
      </c>
      <c r="J77" s="2" t="s">
        <v>19</v>
      </c>
      <c r="K77" s="2" t="s">
        <v>53</v>
      </c>
      <c r="L77" s="2" t="s">
        <v>21</v>
      </c>
      <c r="M77" s="2" t="s">
        <v>287</v>
      </c>
      <c r="N77" t="str">
        <f t="shared" si="4"/>
        <v>Karan Taylor</v>
      </c>
      <c r="O77" s="8">
        <f t="shared" si="5"/>
        <v>90500</v>
      </c>
      <c r="P77">
        <f t="shared" ca="1" si="6"/>
        <v>2</v>
      </c>
      <c r="Q77" t="str">
        <f t="shared" si="7"/>
        <v>B</v>
      </c>
    </row>
    <row r="78" spans="1:17" x14ac:dyDescent="0.35">
      <c r="A78" s="2" t="s">
        <v>234</v>
      </c>
      <c r="B78" s="2" t="s">
        <v>207</v>
      </c>
      <c r="C78" s="2" t="s">
        <v>146</v>
      </c>
      <c r="D78" s="2" t="s">
        <v>16</v>
      </c>
      <c r="E78" s="2" t="s">
        <v>51</v>
      </c>
      <c r="F78" s="2" t="s">
        <v>52</v>
      </c>
      <c r="G78" s="3">
        <v>45025</v>
      </c>
      <c r="H78" s="4">
        <v>64000</v>
      </c>
      <c r="I78" s="4">
        <v>3200</v>
      </c>
      <c r="J78" s="2" t="s">
        <v>69</v>
      </c>
      <c r="K78" s="2" t="s">
        <v>97</v>
      </c>
      <c r="L78" s="2" t="s">
        <v>21</v>
      </c>
      <c r="M78" s="2" t="s">
        <v>235</v>
      </c>
      <c r="N78" t="str">
        <f t="shared" si="4"/>
        <v>Neha Brown</v>
      </c>
      <c r="O78" s="8">
        <f t="shared" si="5"/>
        <v>67200</v>
      </c>
      <c r="P78">
        <f t="shared" ca="1" si="6"/>
        <v>3</v>
      </c>
      <c r="Q78" t="str">
        <f t="shared" si="7"/>
        <v>B</v>
      </c>
    </row>
    <row r="79" spans="1:17" x14ac:dyDescent="0.35">
      <c r="A79" s="2" t="s">
        <v>236</v>
      </c>
      <c r="B79" s="2" t="s">
        <v>174</v>
      </c>
      <c r="C79" s="2" t="s">
        <v>57</v>
      </c>
      <c r="D79" s="2" t="s">
        <v>39</v>
      </c>
      <c r="E79" s="2" t="s">
        <v>26</v>
      </c>
      <c r="F79" s="2" t="s">
        <v>27</v>
      </c>
      <c r="G79" s="3">
        <v>43057</v>
      </c>
      <c r="H79" s="4">
        <v>68000</v>
      </c>
      <c r="I79" s="4">
        <v>0</v>
      </c>
      <c r="J79" s="2" t="s">
        <v>19</v>
      </c>
      <c r="K79" s="2" t="s">
        <v>53</v>
      </c>
      <c r="L79" s="2" t="s">
        <v>46</v>
      </c>
      <c r="M79" s="2" t="s">
        <v>237</v>
      </c>
      <c r="N79" t="str">
        <f t="shared" si="4"/>
        <v>Amit Smith</v>
      </c>
      <c r="O79" s="8">
        <f t="shared" si="5"/>
        <v>68000</v>
      </c>
      <c r="P79">
        <f t="shared" ca="1" si="6"/>
        <v>8</v>
      </c>
      <c r="Q79" t="str">
        <f t="shared" si="7"/>
        <v>B</v>
      </c>
    </row>
    <row r="80" spans="1:17" x14ac:dyDescent="0.35">
      <c r="A80" s="2" t="s">
        <v>238</v>
      </c>
      <c r="B80" s="2" t="s">
        <v>205</v>
      </c>
      <c r="C80" s="2" t="s">
        <v>25</v>
      </c>
      <c r="D80" s="2" t="s">
        <v>16</v>
      </c>
      <c r="E80" s="2" t="s">
        <v>51</v>
      </c>
      <c r="F80" s="2" t="s">
        <v>52</v>
      </c>
      <c r="G80" s="3">
        <v>42020</v>
      </c>
      <c r="H80" s="4">
        <v>59500</v>
      </c>
      <c r="I80" s="4">
        <v>6000</v>
      </c>
      <c r="J80" s="2" t="s">
        <v>19</v>
      </c>
      <c r="K80" s="2" t="s">
        <v>97</v>
      </c>
      <c r="L80" s="2" t="s">
        <v>21</v>
      </c>
      <c r="M80" s="2" t="s">
        <v>239</v>
      </c>
      <c r="N80" t="str">
        <f t="shared" si="4"/>
        <v>Mia Mehta</v>
      </c>
      <c r="O80" s="8">
        <f t="shared" si="5"/>
        <v>65500</v>
      </c>
      <c r="P80">
        <f t="shared" ca="1" si="6"/>
        <v>11</v>
      </c>
      <c r="Q80" t="str">
        <f t="shared" si="7"/>
        <v>C</v>
      </c>
    </row>
    <row r="81" spans="1:17" x14ac:dyDescent="0.35">
      <c r="A81" s="2" t="s">
        <v>240</v>
      </c>
      <c r="B81" s="2" t="s">
        <v>109</v>
      </c>
      <c r="C81" s="2" t="s">
        <v>32</v>
      </c>
      <c r="D81" s="2" t="s">
        <v>16</v>
      </c>
      <c r="E81" s="2" t="s">
        <v>17</v>
      </c>
      <c r="F81" s="2" t="s">
        <v>58</v>
      </c>
      <c r="G81" s="3">
        <v>43766</v>
      </c>
      <c r="H81" s="4">
        <v>51500</v>
      </c>
      <c r="I81" s="4">
        <v>2600</v>
      </c>
      <c r="J81" s="2" t="s">
        <v>69</v>
      </c>
      <c r="K81" s="2" t="s">
        <v>42</v>
      </c>
      <c r="L81" s="2" t="s">
        <v>21</v>
      </c>
      <c r="M81" s="2" t="s">
        <v>287</v>
      </c>
      <c r="N81" t="str">
        <f t="shared" si="4"/>
        <v>Sophia Das</v>
      </c>
      <c r="O81" s="8">
        <f t="shared" si="5"/>
        <v>54100</v>
      </c>
      <c r="P81">
        <f t="shared" ca="1" si="6"/>
        <v>6</v>
      </c>
      <c r="Q81" t="str">
        <f t="shared" si="7"/>
        <v>C</v>
      </c>
    </row>
    <row r="82" spans="1:17" x14ac:dyDescent="0.35">
      <c r="A82" s="2" t="s">
        <v>241</v>
      </c>
      <c r="B82" s="2" t="s">
        <v>81</v>
      </c>
      <c r="C82" s="2" t="s">
        <v>50</v>
      </c>
      <c r="D82" s="2" t="s">
        <v>39</v>
      </c>
      <c r="E82" s="2" t="s">
        <v>51</v>
      </c>
      <c r="F82" s="2" t="s">
        <v>52</v>
      </c>
      <c r="G82" s="3">
        <v>43487</v>
      </c>
      <c r="H82" s="4">
        <v>70000</v>
      </c>
      <c r="I82" s="4">
        <v>7000</v>
      </c>
      <c r="J82" s="2" t="s">
        <v>69</v>
      </c>
      <c r="K82" s="2" t="s">
        <v>35</v>
      </c>
      <c r="L82" s="2" t="s">
        <v>21</v>
      </c>
      <c r="M82" s="2" t="s">
        <v>242</v>
      </c>
      <c r="N82" t="str">
        <f t="shared" si="4"/>
        <v>Imran Davis</v>
      </c>
      <c r="O82" s="8">
        <f t="shared" si="5"/>
        <v>77000</v>
      </c>
      <c r="P82">
        <f t="shared" ca="1" si="6"/>
        <v>7</v>
      </c>
      <c r="Q82" t="str">
        <f t="shared" si="7"/>
        <v>B</v>
      </c>
    </row>
    <row r="83" spans="1:17" x14ac:dyDescent="0.35">
      <c r="A83" s="2" t="s">
        <v>243</v>
      </c>
      <c r="B83" s="2" t="s">
        <v>174</v>
      </c>
      <c r="C83" s="2" t="s">
        <v>175</v>
      </c>
      <c r="D83" s="2" t="s">
        <v>39</v>
      </c>
      <c r="E83" s="2" t="s">
        <v>40</v>
      </c>
      <c r="F83" s="2" t="s">
        <v>83</v>
      </c>
      <c r="G83" s="3">
        <v>43339</v>
      </c>
      <c r="H83" s="4">
        <v>80500</v>
      </c>
      <c r="I83" s="4">
        <v>0</v>
      </c>
      <c r="J83" s="2" t="s">
        <v>62</v>
      </c>
      <c r="K83" s="2" t="s">
        <v>20</v>
      </c>
      <c r="L83" s="2" t="s">
        <v>46</v>
      </c>
      <c r="M83" s="2" t="s">
        <v>244</v>
      </c>
      <c r="N83" t="str">
        <f t="shared" si="4"/>
        <v>Amit Singh</v>
      </c>
      <c r="O83" s="8">
        <f t="shared" si="5"/>
        <v>80500</v>
      </c>
      <c r="P83">
        <f t="shared" ca="1" si="6"/>
        <v>8</v>
      </c>
      <c r="Q83" t="str">
        <f t="shared" si="7"/>
        <v>B</v>
      </c>
    </row>
    <row r="84" spans="1:17" x14ac:dyDescent="0.35">
      <c r="A84" s="2" t="s">
        <v>245</v>
      </c>
      <c r="B84" s="2" t="s">
        <v>112</v>
      </c>
      <c r="C84" s="2" t="s">
        <v>116</v>
      </c>
      <c r="D84" s="2" t="s">
        <v>16</v>
      </c>
      <c r="E84" s="2" t="s">
        <v>17</v>
      </c>
      <c r="F84" s="2" t="s">
        <v>73</v>
      </c>
      <c r="G84" s="3">
        <v>42964</v>
      </c>
      <c r="H84" s="4">
        <v>46500</v>
      </c>
      <c r="I84" s="4">
        <v>0</v>
      </c>
      <c r="J84" s="2" t="s">
        <v>28</v>
      </c>
      <c r="K84" s="2" t="s">
        <v>53</v>
      </c>
      <c r="L84" s="2" t="s">
        <v>21</v>
      </c>
      <c r="M84" s="2" t="s">
        <v>246</v>
      </c>
      <c r="N84" t="str">
        <f t="shared" si="4"/>
        <v>Meera Gupta</v>
      </c>
      <c r="O84" s="8">
        <f t="shared" si="5"/>
        <v>46500</v>
      </c>
      <c r="P84">
        <f t="shared" ca="1" si="6"/>
        <v>9</v>
      </c>
      <c r="Q84" t="str">
        <f t="shared" si="7"/>
        <v>C</v>
      </c>
    </row>
    <row r="85" spans="1:17" x14ac:dyDescent="0.35">
      <c r="A85" s="2" t="s">
        <v>247</v>
      </c>
      <c r="B85" s="2" t="s">
        <v>61</v>
      </c>
      <c r="C85" s="2" t="s">
        <v>32</v>
      </c>
      <c r="D85" s="2" t="s">
        <v>16</v>
      </c>
      <c r="E85" s="2" t="s">
        <v>51</v>
      </c>
      <c r="F85" s="2" t="s">
        <v>117</v>
      </c>
      <c r="G85" s="3">
        <v>43045</v>
      </c>
      <c r="H85" s="4">
        <v>64500</v>
      </c>
      <c r="I85" s="4">
        <v>0</v>
      </c>
      <c r="J85" s="2" t="s">
        <v>28</v>
      </c>
      <c r="K85" s="2" t="s">
        <v>42</v>
      </c>
      <c r="L85" s="2" t="s">
        <v>21</v>
      </c>
      <c r="M85" s="2" t="s">
        <v>248</v>
      </c>
      <c r="N85" t="str">
        <f t="shared" si="4"/>
        <v>Riya Das</v>
      </c>
      <c r="O85" s="8">
        <f t="shared" si="5"/>
        <v>64500</v>
      </c>
      <c r="P85">
        <f t="shared" ca="1" si="6"/>
        <v>8</v>
      </c>
      <c r="Q85" t="str">
        <f t="shared" si="7"/>
        <v>B</v>
      </c>
    </row>
    <row r="86" spans="1:17" x14ac:dyDescent="0.35">
      <c r="A86" s="2" t="s">
        <v>249</v>
      </c>
      <c r="B86" s="2" t="s">
        <v>136</v>
      </c>
      <c r="C86" s="2" t="s">
        <v>101</v>
      </c>
      <c r="D86" s="2" t="s">
        <v>16</v>
      </c>
      <c r="E86" s="2" t="s">
        <v>17</v>
      </c>
      <c r="F86" s="2" t="s">
        <v>18</v>
      </c>
      <c r="G86" s="3">
        <v>43012</v>
      </c>
      <c r="H86" s="4">
        <v>51500</v>
      </c>
      <c r="I86" s="4">
        <v>5200</v>
      </c>
      <c r="J86" s="2" t="s">
        <v>28</v>
      </c>
      <c r="K86" s="2" t="s">
        <v>20</v>
      </c>
      <c r="L86" s="2" t="s">
        <v>21</v>
      </c>
      <c r="M86" s="2" t="s">
        <v>287</v>
      </c>
      <c r="N86" t="str">
        <f t="shared" si="4"/>
        <v>Sneha Wilson</v>
      </c>
      <c r="O86" s="8">
        <f t="shared" si="5"/>
        <v>56700</v>
      </c>
      <c r="P86">
        <f t="shared" ca="1" si="6"/>
        <v>9</v>
      </c>
      <c r="Q86" t="str">
        <f t="shared" si="7"/>
        <v>C</v>
      </c>
    </row>
    <row r="87" spans="1:17" x14ac:dyDescent="0.35">
      <c r="A87" s="2" t="s">
        <v>250</v>
      </c>
      <c r="B87" s="2" t="s">
        <v>174</v>
      </c>
      <c r="C87" s="2" t="s">
        <v>15</v>
      </c>
      <c r="D87" s="2" t="s">
        <v>39</v>
      </c>
      <c r="E87" s="2" t="s">
        <v>33</v>
      </c>
      <c r="F87" s="2" t="s">
        <v>34</v>
      </c>
      <c r="G87" s="3">
        <v>43841</v>
      </c>
      <c r="H87" s="4">
        <v>95000</v>
      </c>
      <c r="I87" s="4">
        <v>0</v>
      </c>
      <c r="J87" s="2" t="s">
        <v>69</v>
      </c>
      <c r="K87" s="2" t="s">
        <v>29</v>
      </c>
      <c r="L87" s="2" t="s">
        <v>21</v>
      </c>
      <c r="M87" s="2" t="s">
        <v>287</v>
      </c>
      <c r="N87" t="str">
        <f t="shared" si="4"/>
        <v>Amit Khan</v>
      </c>
      <c r="O87" s="8">
        <f t="shared" si="5"/>
        <v>95000</v>
      </c>
      <c r="P87">
        <f t="shared" ca="1" si="6"/>
        <v>6</v>
      </c>
      <c r="Q87" t="str">
        <f t="shared" si="7"/>
        <v>B</v>
      </c>
    </row>
    <row r="88" spans="1:17" x14ac:dyDescent="0.35">
      <c r="A88" s="2" t="s">
        <v>251</v>
      </c>
      <c r="B88" s="2" t="s">
        <v>56</v>
      </c>
      <c r="C88" s="2" t="s">
        <v>116</v>
      </c>
      <c r="D88" s="2" t="s">
        <v>39</v>
      </c>
      <c r="E88" s="2" t="s">
        <v>26</v>
      </c>
      <c r="F88" s="2" t="s">
        <v>102</v>
      </c>
      <c r="G88" s="3">
        <v>44104</v>
      </c>
      <c r="H88" s="4">
        <v>109000</v>
      </c>
      <c r="I88" s="4">
        <v>0</v>
      </c>
      <c r="J88" s="2" t="s">
        <v>28</v>
      </c>
      <c r="K88" s="2" t="s">
        <v>42</v>
      </c>
      <c r="L88" s="2" t="s">
        <v>21</v>
      </c>
      <c r="M88" s="2" t="s">
        <v>252</v>
      </c>
      <c r="N88" t="str">
        <f t="shared" si="4"/>
        <v>Lucas Gupta</v>
      </c>
      <c r="O88" s="8">
        <f t="shared" si="5"/>
        <v>109000</v>
      </c>
      <c r="P88">
        <f t="shared" ca="1" si="6"/>
        <v>6</v>
      </c>
      <c r="Q88" t="str">
        <f t="shared" si="7"/>
        <v>A</v>
      </c>
    </row>
    <row r="89" spans="1:17" x14ac:dyDescent="0.35">
      <c r="A89" s="2" t="s">
        <v>253</v>
      </c>
      <c r="B89" s="2" t="s">
        <v>81</v>
      </c>
      <c r="C89" s="2" t="s">
        <v>82</v>
      </c>
      <c r="D89" s="2" t="s">
        <v>39</v>
      </c>
      <c r="E89" s="2" t="s">
        <v>51</v>
      </c>
      <c r="F89" s="2" t="s">
        <v>87</v>
      </c>
      <c r="G89" s="3">
        <v>42185</v>
      </c>
      <c r="H89" s="4">
        <v>49500</v>
      </c>
      <c r="I89" s="4">
        <v>0</v>
      </c>
      <c r="J89" s="2" t="s">
        <v>62</v>
      </c>
      <c r="K89" s="2" t="s">
        <v>97</v>
      </c>
      <c r="L89" s="2" t="s">
        <v>21</v>
      </c>
      <c r="M89" s="2" t="s">
        <v>254</v>
      </c>
      <c r="N89" t="str">
        <f t="shared" si="4"/>
        <v>Imran Sharma</v>
      </c>
      <c r="O89" s="8">
        <f t="shared" si="5"/>
        <v>49500</v>
      </c>
      <c r="P89">
        <f t="shared" ca="1" si="6"/>
        <v>11</v>
      </c>
      <c r="Q89" t="str">
        <f t="shared" si="7"/>
        <v>C</v>
      </c>
    </row>
    <row r="90" spans="1:17" x14ac:dyDescent="0.35">
      <c r="A90" s="2" t="s">
        <v>255</v>
      </c>
      <c r="B90" s="2" t="s">
        <v>14</v>
      </c>
      <c r="C90" s="2" t="s">
        <v>116</v>
      </c>
      <c r="D90" s="2" t="s">
        <v>16</v>
      </c>
      <c r="E90" s="2" t="s">
        <v>40</v>
      </c>
      <c r="F90" s="2" t="s">
        <v>133</v>
      </c>
      <c r="G90" s="3">
        <v>42324</v>
      </c>
      <c r="H90" s="4">
        <v>65500</v>
      </c>
      <c r="I90" s="4">
        <v>0</v>
      </c>
      <c r="J90" s="2" t="s">
        <v>69</v>
      </c>
      <c r="K90" s="2" t="s">
        <v>35</v>
      </c>
      <c r="L90" s="2" t="s">
        <v>21</v>
      </c>
      <c r="M90" s="2" t="s">
        <v>256</v>
      </c>
      <c r="N90" t="str">
        <f t="shared" si="4"/>
        <v>Ananya Gupta</v>
      </c>
      <c r="O90" s="8">
        <f t="shared" si="5"/>
        <v>65500</v>
      </c>
      <c r="P90">
        <f t="shared" ca="1" si="6"/>
        <v>10</v>
      </c>
      <c r="Q90" t="str">
        <f t="shared" si="7"/>
        <v>B</v>
      </c>
    </row>
    <row r="91" spans="1:17" x14ac:dyDescent="0.35">
      <c r="A91" s="2" t="s">
        <v>257</v>
      </c>
      <c r="B91" s="2" t="s">
        <v>183</v>
      </c>
      <c r="C91" s="2" t="s">
        <v>32</v>
      </c>
      <c r="D91" s="2" t="s">
        <v>39</v>
      </c>
      <c r="E91" s="2" t="s">
        <v>40</v>
      </c>
      <c r="F91" s="2" t="s">
        <v>133</v>
      </c>
      <c r="G91" s="3">
        <v>44679</v>
      </c>
      <c r="H91" s="4">
        <v>51000</v>
      </c>
      <c r="I91" s="4">
        <v>0</v>
      </c>
      <c r="J91" s="2" t="s">
        <v>28</v>
      </c>
      <c r="K91" s="2" t="s">
        <v>20</v>
      </c>
      <c r="L91" s="2" t="s">
        <v>21</v>
      </c>
      <c r="M91" s="2" t="s">
        <v>258</v>
      </c>
      <c r="N91" t="str">
        <f t="shared" si="4"/>
        <v>John Das</v>
      </c>
      <c r="O91" s="8">
        <f t="shared" si="5"/>
        <v>51000</v>
      </c>
      <c r="P91">
        <f t="shared" ca="1" si="6"/>
        <v>4</v>
      </c>
      <c r="Q91" t="str">
        <f t="shared" si="7"/>
        <v>C</v>
      </c>
    </row>
    <row r="92" spans="1:17" x14ac:dyDescent="0.35">
      <c r="A92" s="2" t="s">
        <v>259</v>
      </c>
      <c r="B92" s="2" t="s">
        <v>100</v>
      </c>
      <c r="C92" s="2" t="s">
        <v>15</v>
      </c>
      <c r="D92" s="2" t="s">
        <v>16</v>
      </c>
      <c r="E92" s="2" t="s">
        <v>40</v>
      </c>
      <c r="F92" s="2" t="s">
        <v>133</v>
      </c>
      <c r="G92" s="3">
        <v>43468</v>
      </c>
      <c r="H92" s="4">
        <v>103000</v>
      </c>
      <c r="I92" s="4">
        <v>5200</v>
      </c>
      <c r="J92" s="2" t="s">
        <v>28</v>
      </c>
      <c r="K92" s="2" t="s">
        <v>35</v>
      </c>
      <c r="L92" s="2" t="s">
        <v>46</v>
      </c>
      <c r="M92" s="2" t="s">
        <v>260</v>
      </c>
      <c r="N92" t="str">
        <f t="shared" si="4"/>
        <v>Olivia Khan</v>
      </c>
      <c r="O92" s="8">
        <f t="shared" si="5"/>
        <v>108200</v>
      </c>
      <c r="P92">
        <f t="shared" ca="1" si="6"/>
        <v>7</v>
      </c>
      <c r="Q92" t="str">
        <f t="shared" si="7"/>
        <v>A</v>
      </c>
    </row>
    <row r="93" spans="1:17" x14ac:dyDescent="0.35">
      <c r="A93" s="2" t="s">
        <v>261</v>
      </c>
      <c r="B93" s="2" t="s">
        <v>207</v>
      </c>
      <c r="C93" s="2" t="s">
        <v>101</v>
      </c>
      <c r="D93" s="2" t="s">
        <v>16</v>
      </c>
      <c r="E93" s="2" t="s">
        <v>26</v>
      </c>
      <c r="F93" s="2" t="s">
        <v>91</v>
      </c>
      <c r="G93" s="3">
        <v>42646</v>
      </c>
      <c r="H93" s="4">
        <v>117000</v>
      </c>
      <c r="I93" s="4">
        <v>5800</v>
      </c>
      <c r="J93" s="2" t="s">
        <v>69</v>
      </c>
      <c r="K93" s="2" t="s">
        <v>42</v>
      </c>
      <c r="L93" s="2" t="s">
        <v>21</v>
      </c>
      <c r="M93" s="2" t="s">
        <v>262</v>
      </c>
      <c r="N93" t="str">
        <f t="shared" si="4"/>
        <v>Neha Wilson</v>
      </c>
      <c r="O93" s="8">
        <f t="shared" si="5"/>
        <v>122800</v>
      </c>
      <c r="P93">
        <f t="shared" ca="1" si="6"/>
        <v>10</v>
      </c>
      <c r="Q93" t="str">
        <f t="shared" si="7"/>
        <v>A</v>
      </c>
    </row>
    <row r="94" spans="1:17" x14ac:dyDescent="0.35">
      <c r="A94" s="2" t="s">
        <v>263</v>
      </c>
      <c r="B94" s="2" t="s">
        <v>152</v>
      </c>
      <c r="C94" s="2" t="s">
        <v>45</v>
      </c>
      <c r="D94" s="2" t="s">
        <v>39</v>
      </c>
      <c r="E94" s="2" t="s">
        <v>40</v>
      </c>
      <c r="F94" s="2" t="s">
        <v>83</v>
      </c>
      <c r="G94" s="3">
        <v>44629</v>
      </c>
      <c r="H94" s="4">
        <v>54500</v>
      </c>
      <c r="I94" s="4">
        <v>2700</v>
      </c>
      <c r="J94" s="2" t="s">
        <v>69</v>
      </c>
      <c r="K94" s="2" t="s">
        <v>53</v>
      </c>
      <c r="L94" s="2" t="s">
        <v>21</v>
      </c>
      <c r="M94" s="2" t="s">
        <v>264</v>
      </c>
      <c r="N94" t="str">
        <f t="shared" si="4"/>
        <v>Aarav Nair</v>
      </c>
      <c r="O94" s="8">
        <f t="shared" si="5"/>
        <v>57200</v>
      </c>
      <c r="P94">
        <f t="shared" ca="1" si="6"/>
        <v>4</v>
      </c>
      <c r="Q94" t="str">
        <f t="shared" si="7"/>
        <v>C</v>
      </c>
    </row>
    <row r="95" spans="1:17" x14ac:dyDescent="0.35">
      <c r="A95" s="2" t="s">
        <v>265</v>
      </c>
      <c r="B95" s="2" t="s">
        <v>14</v>
      </c>
      <c r="C95" s="2" t="s">
        <v>15</v>
      </c>
      <c r="D95" s="2" t="s">
        <v>16</v>
      </c>
      <c r="E95" s="2" t="s">
        <v>40</v>
      </c>
      <c r="F95" s="2" t="s">
        <v>133</v>
      </c>
      <c r="G95" s="3">
        <v>42279</v>
      </c>
      <c r="H95" s="4">
        <v>56500</v>
      </c>
      <c r="I95" s="4">
        <v>0</v>
      </c>
      <c r="J95" s="2" t="s">
        <v>28</v>
      </c>
      <c r="K95" s="2" t="s">
        <v>42</v>
      </c>
      <c r="L95" s="2" t="s">
        <v>21</v>
      </c>
      <c r="M95" s="2" t="s">
        <v>266</v>
      </c>
      <c r="N95" t="str">
        <f t="shared" si="4"/>
        <v>Ananya Khan</v>
      </c>
      <c r="O95" s="8">
        <f t="shared" si="5"/>
        <v>56500</v>
      </c>
      <c r="P95">
        <f t="shared" ca="1" si="6"/>
        <v>11</v>
      </c>
      <c r="Q95" t="str">
        <f t="shared" si="7"/>
        <v>C</v>
      </c>
    </row>
    <row r="96" spans="1:17" x14ac:dyDescent="0.35">
      <c r="A96" s="2" t="s">
        <v>267</v>
      </c>
      <c r="B96" s="2" t="s">
        <v>56</v>
      </c>
      <c r="C96" s="2" t="s">
        <v>45</v>
      </c>
      <c r="D96" s="2" t="s">
        <v>39</v>
      </c>
      <c r="E96" s="2" t="s">
        <v>17</v>
      </c>
      <c r="F96" s="2" t="s">
        <v>58</v>
      </c>
      <c r="G96" s="3">
        <v>42223</v>
      </c>
      <c r="H96" s="4">
        <v>55500</v>
      </c>
      <c r="I96" s="4">
        <v>5600</v>
      </c>
      <c r="J96" s="2" t="s">
        <v>62</v>
      </c>
      <c r="K96" s="2" t="s">
        <v>42</v>
      </c>
      <c r="L96" s="2" t="s">
        <v>21</v>
      </c>
      <c r="M96" s="2" t="s">
        <v>268</v>
      </c>
      <c r="N96" t="str">
        <f t="shared" si="4"/>
        <v>Lucas Nair</v>
      </c>
      <c r="O96" s="8">
        <f t="shared" si="5"/>
        <v>61100</v>
      </c>
      <c r="P96">
        <f t="shared" ca="1" si="6"/>
        <v>11</v>
      </c>
      <c r="Q96" t="str">
        <f t="shared" si="7"/>
        <v>C</v>
      </c>
    </row>
    <row r="97" spans="1:17" x14ac:dyDescent="0.35">
      <c r="A97" s="2" t="s">
        <v>269</v>
      </c>
      <c r="B97" s="2" t="s">
        <v>61</v>
      </c>
      <c r="C97" s="2" t="s">
        <v>146</v>
      </c>
      <c r="D97" s="2" t="s">
        <v>16</v>
      </c>
      <c r="E97" s="2" t="s">
        <v>33</v>
      </c>
      <c r="F97" s="2" t="s">
        <v>121</v>
      </c>
      <c r="G97" s="3">
        <v>43942</v>
      </c>
      <c r="H97" s="4">
        <v>94500</v>
      </c>
      <c r="I97" s="4">
        <v>0</v>
      </c>
      <c r="J97" s="2" t="s">
        <v>28</v>
      </c>
      <c r="K97" s="2" t="s">
        <v>20</v>
      </c>
      <c r="L97" s="2" t="s">
        <v>21</v>
      </c>
      <c r="M97" s="2" t="s">
        <v>270</v>
      </c>
      <c r="N97" t="str">
        <f t="shared" si="4"/>
        <v>Riya Brown</v>
      </c>
      <c r="O97" s="8">
        <f t="shared" si="5"/>
        <v>94500</v>
      </c>
      <c r="P97">
        <f t="shared" ca="1" si="6"/>
        <v>6</v>
      </c>
      <c r="Q97" t="str">
        <f t="shared" si="7"/>
        <v>B</v>
      </c>
    </row>
    <row r="98" spans="1:17" x14ac:dyDescent="0.35">
      <c r="A98" s="2" t="s">
        <v>271</v>
      </c>
      <c r="B98" s="2" t="s">
        <v>105</v>
      </c>
      <c r="C98" s="2" t="s">
        <v>32</v>
      </c>
      <c r="D98" s="2" t="s">
        <v>39</v>
      </c>
      <c r="E98" s="2" t="s">
        <v>33</v>
      </c>
      <c r="F98" s="2" t="s">
        <v>34</v>
      </c>
      <c r="G98" s="3">
        <v>44308</v>
      </c>
      <c r="H98" s="4">
        <v>42500</v>
      </c>
      <c r="I98" s="4">
        <v>0</v>
      </c>
      <c r="J98" s="2" t="s">
        <v>19</v>
      </c>
      <c r="K98" s="2" t="s">
        <v>97</v>
      </c>
      <c r="L98" s="2" t="s">
        <v>21</v>
      </c>
      <c r="M98" s="2" t="s">
        <v>272</v>
      </c>
      <c r="N98" t="str">
        <f t="shared" si="4"/>
        <v>Rohan Das</v>
      </c>
      <c r="O98" s="8">
        <f t="shared" si="5"/>
        <v>42500</v>
      </c>
      <c r="P98">
        <f t="shared" ca="1" si="6"/>
        <v>5</v>
      </c>
      <c r="Q98" t="str">
        <f t="shared" si="7"/>
        <v>C</v>
      </c>
    </row>
    <row r="99" spans="1:17" x14ac:dyDescent="0.35">
      <c r="A99" s="2" t="s">
        <v>273</v>
      </c>
      <c r="B99" s="2" t="s">
        <v>61</v>
      </c>
      <c r="C99" s="2" t="s">
        <v>86</v>
      </c>
      <c r="D99" s="2" t="s">
        <v>16</v>
      </c>
      <c r="E99" s="2" t="s">
        <v>33</v>
      </c>
      <c r="F99" s="2" t="s">
        <v>121</v>
      </c>
      <c r="G99" s="3">
        <v>43599</v>
      </c>
      <c r="H99" s="4">
        <v>68000</v>
      </c>
      <c r="I99" s="4">
        <v>0</v>
      </c>
      <c r="J99" s="2" t="s">
        <v>28</v>
      </c>
      <c r="K99" s="2" t="s">
        <v>42</v>
      </c>
      <c r="L99" s="2" t="s">
        <v>21</v>
      </c>
      <c r="M99" s="2" t="s">
        <v>287</v>
      </c>
      <c r="N99" t="str">
        <f t="shared" si="4"/>
        <v>Riya Taylor</v>
      </c>
      <c r="O99" s="8">
        <f t="shared" si="5"/>
        <v>68000</v>
      </c>
      <c r="P99">
        <f t="shared" ca="1" si="6"/>
        <v>7</v>
      </c>
      <c r="Q99" t="str">
        <f t="shared" si="7"/>
        <v>B</v>
      </c>
    </row>
    <row r="100" spans="1:17" x14ac:dyDescent="0.35">
      <c r="A100" s="2" t="s">
        <v>274</v>
      </c>
      <c r="B100" s="2" t="s">
        <v>109</v>
      </c>
      <c r="C100" s="2" t="s">
        <v>113</v>
      </c>
      <c r="D100" s="2" t="s">
        <v>16</v>
      </c>
      <c r="E100" s="2" t="s">
        <v>40</v>
      </c>
      <c r="F100" s="2" t="s">
        <v>133</v>
      </c>
      <c r="G100" s="3">
        <v>45359</v>
      </c>
      <c r="H100" s="4">
        <v>96000</v>
      </c>
      <c r="I100" s="4">
        <v>4800</v>
      </c>
      <c r="J100" s="2" t="s">
        <v>19</v>
      </c>
      <c r="K100" s="2" t="s">
        <v>97</v>
      </c>
      <c r="L100" s="2" t="s">
        <v>21</v>
      </c>
      <c r="M100" s="2" t="s">
        <v>275</v>
      </c>
      <c r="N100" t="str">
        <f t="shared" si="4"/>
        <v>Sophia Reddy</v>
      </c>
      <c r="O100" s="8">
        <f t="shared" si="5"/>
        <v>100800</v>
      </c>
      <c r="P100">
        <f t="shared" ca="1" si="6"/>
        <v>2</v>
      </c>
      <c r="Q100" t="str">
        <f t="shared" si="7"/>
        <v>B</v>
      </c>
    </row>
    <row r="101" spans="1:17" x14ac:dyDescent="0.35">
      <c r="A101" s="2" t="s">
        <v>276</v>
      </c>
      <c r="B101" s="2" t="s">
        <v>136</v>
      </c>
      <c r="C101" s="2" t="s">
        <v>175</v>
      </c>
      <c r="D101" s="2" t="s">
        <v>16</v>
      </c>
      <c r="E101" s="2" t="s">
        <v>17</v>
      </c>
      <c r="F101" s="2" t="s">
        <v>18</v>
      </c>
      <c r="G101" s="3">
        <v>44094</v>
      </c>
      <c r="H101" s="4">
        <v>68000</v>
      </c>
      <c r="I101" s="4">
        <v>0</v>
      </c>
      <c r="J101" s="2" t="s">
        <v>69</v>
      </c>
      <c r="K101" s="2" t="s">
        <v>29</v>
      </c>
      <c r="L101" s="2" t="s">
        <v>21</v>
      </c>
      <c r="M101" s="2" t="s">
        <v>277</v>
      </c>
      <c r="N101" t="str">
        <f t="shared" si="4"/>
        <v>Sneha Singh</v>
      </c>
      <c r="O101" s="8">
        <f t="shared" si="5"/>
        <v>68000</v>
      </c>
      <c r="P101">
        <f t="shared" ca="1" si="6"/>
        <v>6</v>
      </c>
      <c r="Q101" t="str">
        <f t="shared" si="7"/>
        <v>B</v>
      </c>
    </row>
    <row r="102" spans="1:17" x14ac:dyDescent="0.35">
      <c r="N102" t="str">
        <f t="shared" si="4"/>
        <v xml:space="preserve"> </v>
      </c>
      <c r="O102" s="8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AFFC-E108-45E2-8DDF-5E6990818BAF}">
  <dimension ref="A1:U180"/>
  <sheetViews>
    <sheetView tabSelected="1" zoomScale="50" workbookViewId="0">
      <selection activeCell="W41" sqref="W41"/>
    </sheetView>
  </sheetViews>
  <sheetFormatPr defaultRowHeight="14.5" x14ac:dyDescent="0.35"/>
  <sheetData>
    <row r="1" spans="1:20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ED28-8F32-4D5D-93E4-603498EA7DF6}">
  <dimension ref="A1:Y101"/>
  <sheetViews>
    <sheetView workbookViewId="0">
      <selection activeCell="E18" sqref="E18"/>
    </sheetView>
  </sheetViews>
  <sheetFormatPr defaultRowHeight="14.5" x14ac:dyDescent="0.35"/>
  <cols>
    <col min="1" max="1" width="9.54296875" customWidth="1"/>
    <col min="2" max="2" width="12.81640625" customWidth="1"/>
    <col min="3" max="3" width="12.7265625" customWidth="1"/>
    <col min="4" max="4" width="9.6328125" customWidth="1"/>
    <col min="5" max="5" width="13.6328125" customWidth="1"/>
    <col min="6" max="6" width="10.81640625" customWidth="1"/>
    <col min="7" max="7" width="22.1796875" customWidth="1"/>
    <col min="9" max="9" width="8.90625" customWidth="1"/>
    <col min="10" max="10" width="21.26953125" customWidth="1"/>
    <col min="12" max="13" width="8.81640625" customWidth="1"/>
    <col min="14" max="14" width="11.08984375" customWidth="1"/>
    <col min="15" max="15" width="10.54296875" customWidth="1"/>
    <col min="16" max="16" width="15.81640625" customWidth="1"/>
    <col min="18" max="18" width="13.453125" customWidth="1"/>
    <col min="19" max="19" width="17.90625" customWidth="1"/>
    <col min="20" max="20" width="15.08984375" customWidth="1"/>
    <col min="21" max="21" width="10.453125" customWidth="1"/>
    <col min="24" max="24" width="12.36328125" bestFit="1" customWidth="1"/>
    <col min="25" max="25" width="10" bestFit="1" customWidth="1"/>
  </cols>
  <sheetData>
    <row r="1" spans="1:2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293</v>
      </c>
      <c r="O1" t="s">
        <v>294</v>
      </c>
      <c r="P1" t="s">
        <v>286</v>
      </c>
      <c r="Q1" t="s">
        <v>295</v>
      </c>
      <c r="R1" t="s">
        <v>296</v>
      </c>
      <c r="S1" t="s">
        <v>279</v>
      </c>
      <c r="T1" t="s">
        <v>280</v>
      </c>
      <c r="U1" t="s">
        <v>297</v>
      </c>
    </row>
    <row r="2" spans="1:25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42202</v>
      </c>
      <c r="H2" s="4">
        <v>77500</v>
      </c>
      <c r="I2" s="4">
        <v>0</v>
      </c>
      <c r="J2" s="2" t="s">
        <v>19</v>
      </c>
      <c r="K2" s="2" t="s">
        <v>20</v>
      </c>
      <c r="L2" s="2" t="s">
        <v>21</v>
      </c>
      <c r="M2" s="2">
        <v>9644854973</v>
      </c>
      <c r="N2" t="str">
        <f>B2&amp;" "&amp;C2</f>
        <v>Ananya Khan</v>
      </c>
      <c r="O2" s="8">
        <f>SUM(H2:I2)</f>
        <v>77500</v>
      </c>
      <c r="P2">
        <f ca="1">DATEDIF(G2,TODAY(),"Y")</f>
        <v>11</v>
      </c>
      <c r="Q2" t="str">
        <f>IF(H2&gt;=100000,"A",IF(H2&gt;=60000,"B","C"))</f>
        <v>B</v>
      </c>
      <c r="R2" t="str">
        <f ca="1">IF(P2&lt;3,"0-2 yrs",IF(P2&lt;6,"3-5 yrs",IF(P2&lt;9,"6-8 yrs","9+ yrs")))</f>
        <v>9+ yrs</v>
      </c>
      <c r="S2" t="str">
        <f>VLOOKUP(E2,Departments!$A$2:$D$6,3,FALSE)</f>
        <v>Rekha Iyer</v>
      </c>
      <c r="T2">
        <f>VLOOKUP(E2,Departments!$A$2:$D$6,4,FALSE)</f>
        <v>5000000</v>
      </c>
      <c r="U2">
        <f>YEAR(G2)</f>
        <v>2015</v>
      </c>
    </row>
    <row r="3" spans="1:25" x14ac:dyDescent="0.35">
      <c r="A3" s="2" t="s">
        <v>23</v>
      </c>
      <c r="B3" s="2" t="s">
        <v>24</v>
      </c>
      <c r="C3" s="2" t="s">
        <v>25</v>
      </c>
      <c r="D3" s="2" t="s">
        <v>16</v>
      </c>
      <c r="E3" s="2" t="s">
        <v>26</v>
      </c>
      <c r="F3" s="2" t="s">
        <v>27</v>
      </c>
      <c r="G3" s="3">
        <v>42376</v>
      </c>
      <c r="H3" s="4">
        <v>91500</v>
      </c>
      <c r="I3" s="4">
        <v>9200</v>
      </c>
      <c r="J3" s="2" t="s">
        <v>28</v>
      </c>
      <c r="K3" s="2" t="s">
        <v>29</v>
      </c>
      <c r="L3" s="2" t="s">
        <v>21</v>
      </c>
      <c r="M3" s="2" t="s">
        <v>292</v>
      </c>
      <c r="N3" t="str">
        <f t="shared" ref="N3:N66" si="0">B3&amp;" "&amp;C3</f>
        <v>Divya Mehta</v>
      </c>
      <c r="O3" s="8">
        <f t="shared" ref="O3:O66" si="1">SUM(H3:I3)</f>
        <v>100700</v>
      </c>
      <c r="P3">
        <f t="shared" ref="P3:P66" ca="1" si="2">DATEDIF(G3,TODAY(),"Y")</f>
        <v>10</v>
      </c>
      <c r="Q3" t="str">
        <f t="shared" ref="Q3:Q66" si="3">IF(H3&gt;=100000,"A",IF(H3&gt;=60000,"B","C"))</f>
        <v>B</v>
      </c>
      <c r="R3" t="str">
        <f t="shared" ref="R3:R66" ca="1" si="4">IF(P3&lt;3,"0-2 yrs",IF(P3&lt;6,"3-5 yrs",IF(P3&lt;9,"6-8 yrs","9+ yrs")))</f>
        <v>9+ yrs</v>
      </c>
      <c r="S3" t="str">
        <f>VLOOKUP(E3,Departments!$A$2:$D$6,3,FALSE)</f>
        <v>Anil Kumar</v>
      </c>
      <c r="T3">
        <f>VLOOKUP(E3,Departments!$A$2:$D$6,4,FALSE)</f>
        <v>15000000</v>
      </c>
      <c r="U3">
        <f t="shared" ref="U3:U66" si="5">YEAR(G3)</f>
        <v>2016</v>
      </c>
      <c r="X3" s="10" t="s">
        <v>298</v>
      </c>
      <c r="Y3" t="s">
        <v>301</v>
      </c>
    </row>
    <row r="4" spans="1:25" x14ac:dyDescent="0.35">
      <c r="A4" s="2" t="s">
        <v>30</v>
      </c>
      <c r="B4" s="2" t="s">
        <v>31</v>
      </c>
      <c r="C4" s="2" t="s">
        <v>32</v>
      </c>
      <c r="D4" s="2" t="s">
        <v>16</v>
      </c>
      <c r="E4" s="2" t="s">
        <v>33</v>
      </c>
      <c r="F4" s="2" t="s">
        <v>34</v>
      </c>
      <c r="G4" s="3">
        <v>44285</v>
      </c>
      <c r="H4" s="4">
        <v>43000</v>
      </c>
      <c r="I4" s="4">
        <v>0</v>
      </c>
      <c r="J4" s="2" t="s">
        <v>28</v>
      </c>
      <c r="K4" s="2" t="s">
        <v>35</v>
      </c>
      <c r="L4" s="2" t="s">
        <v>21</v>
      </c>
      <c r="M4" s="2" t="s">
        <v>292</v>
      </c>
      <c r="N4" t="str">
        <f t="shared" si="0"/>
        <v>Priya Das</v>
      </c>
      <c r="O4" s="8">
        <f t="shared" si="1"/>
        <v>43000</v>
      </c>
      <c r="P4">
        <f t="shared" ca="1" si="2"/>
        <v>5</v>
      </c>
      <c r="Q4" t="str">
        <f t="shared" si="3"/>
        <v>C</v>
      </c>
      <c r="R4" t="str">
        <f t="shared" ca="1" si="4"/>
        <v>3-5 yrs</v>
      </c>
      <c r="S4" t="str">
        <f>VLOOKUP(E4,Departments!$A$2:$D$6,3,FALSE)</f>
        <v>Sunita Rao</v>
      </c>
      <c r="T4">
        <f>VLOOKUP(E4,Departments!$A$2:$D$6,4,FALSE)</f>
        <v>9000000</v>
      </c>
      <c r="U4">
        <f t="shared" si="5"/>
        <v>2021</v>
      </c>
      <c r="X4" s="11" t="s">
        <v>26</v>
      </c>
      <c r="Y4" s="12">
        <v>16</v>
      </c>
    </row>
    <row r="5" spans="1:25" x14ac:dyDescent="0.3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3">
        <v>44621</v>
      </c>
      <c r="H5" s="4">
        <v>82500</v>
      </c>
      <c r="I5" s="4">
        <v>0</v>
      </c>
      <c r="J5" s="2" t="s">
        <v>28</v>
      </c>
      <c r="K5" s="2" t="s">
        <v>42</v>
      </c>
      <c r="L5" s="2" t="s">
        <v>21</v>
      </c>
      <c r="M5" s="2" t="s">
        <v>292</v>
      </c>
      <c r="N5" t="str">
        <f t="shared" si="0"/>
        <v>Rahul Patel</v>
      </c>
      <c r="O5" s="8">
        <f t="shared" si="1"/>
        <v>82500</v>
      </c>
      <c r="P5">
        <f t="shared" ca="1" si="2"/>
        <v>4</v>
      </c>
      <c r="Q5" t="str">
        <f t="shared" si="3"/>
        <v>B</v>
      </c>
      <c r="R5" t="str">
        <f t="shared" ca="1" si="4"/>
        <v>3-5 yrs</v>
      </c>
      <c r="S5" t="str">
        <f>VLOOKUP(E5,Departments!$A$2:$D$6,3,FALSE)</f>
        <v>Suresh Menon</v>
      </c>
      <c r="T5">
        <f>VLOOKUP(E5,Departments!$A$2:$D$6,4,FALSE)</f>
        <v>8000000</v>
      </c>
      <c r="U5">
        <f t="shared" si="5"/>
        <v>2022</v>
      </c>
      <c r="X5" s="11" t="s">
        <v>40</v>
      </c>
      <c r="Y5" s="12">
        <v>19</v>
      </c>
    </row>
    <row r="6" spans="1:25" x14ac:dyDescent="0.35">
      <c r="A6" s="2" t="s">
        <v>43</v>
      </c>
      <c r="B6" s="2" t="s">
        <v>44</v>
      </c>
      <c r="C6" s="2" t="s">
        <v>45</v>
      </c>
      <c r="D6" s="2" t="s">
        <v>16</v>
      </c>
      <c r="E6" s="2" t="s">
        <v>40</v>
      </c>
      <c r="F6" s="2" t="s">
        <v>41</v>
      </c>
      <c r="G6" s="3">
        <v>45188</v>
      </c>
      <c r="H6" s="4">
        <v>73000</v>
      </c>
      <c r="I6" s="4">
        <v>0</v>
      </c>
      <c r="J6" s="2" t="s">
        <v>28</v>
      </c>
      <c r="K6" s="2" t="s">
        <v>42</v>
      </c>
      <c r="L6" s="2" t="s">
        <v>46</v>
      </c>
      <c r="M6" s="2">
        <v>9366746013</v>
      </c>
      <c r="N6" t="str">
        <f t="shared" si="0"/>
        <v>Emma Nair</v>
      </c>
      <c r="O6" s="8">
        <f t="shared" si="1"/>
        <v>73000</v>
      </c>
      <c r="P6">
        <f t="shared" ca="1" si="2"/>
        <v>3</v>
      </c>
      <c r="Q6" t="str">
        <f t="shared" si="3"/>
        <v>B</v>
      </c>
      <c r="R6" t="str">
        <f t="shared" ca="1" si="4"/>
        <v>3-5 yrs</v>
      </c>
      <c r="S6" t="str">
        <f>VLOOKUP(E6,Departments!$A$2:$D$6,3,FALSE)</f>
        <v>Suresh Menon</v>
      </c>
      <c r="T6">
        <f>VLOOKUP(E6,Departments!$A$2:$D$6,4,FALSE)</f>
        <v>8000000</v>
      </c>
      <c r="U6">
        <f t="shared" si="5"/>
        <v>2023</v>
      </c>
      <c r="X6" s="11" t="s">
        <v>17</v>
      </c>
      <c r="Y6" s="12">
        <v>24</v>
      </c>
    </row>
    <row r="7" spans="1:25" x14ac:dyDescent="0.35">
      <c r="A7" s="2" t="s">
        <v>48</v>
      </c>
      <c r="B7" s="2" t="s">
        <v>49</v>
      </c>
      <c r="C7" s="2" t="s">
        <v>50</v>
      </c>
      <c r="D7" s="2" t="s">
        <v>39</v>
      </c>
      <c r="E7" s="2" t="s">
        <v>51</v>
      </c>
      <c r="F7" s="2" t="s">
        <v>52</v>
      </c>
      <c r="G7" s="3">
        <v>44032</v>
      </c>
      <c r="H7" s="4">
        <v>74500</v>
      </c>
      <c r="I7" s="4">
        <v>0</v>
      </c>
      <c r="J7" s="2" t="s">
        <v>19</v>
      </c>
      <c r="K7" s="2" t="s">
        <v>53</v>
      </c>
      <c r="L7" s="2" t="s">
        <v>21</v>
      </c>
      <c r="M7" s="2">
        <v>9226772164</v>
      </c>
      <c r="N7" t="str">
        <f t="shared" si="0"/>
        <v>Nikhil Davis</v>
      </c>
      <c r="O7" s="8">
        <f t="shared" si="1"/>
        <v>74500</v>
      </c>
      <c r="P7">
        <f t="shared" ca="1" si="2"/>
        <v>6</v>
      </c>
      <c r="Q7" t="str">
        <f t="shared" si="3"/>
        <v>B</v>
      </c>
      <c r="R7" t="str">
        <f t="shared" ca="1" si="4"/>
        <v>6-8 yrs</v>
      </c>
      <c r="S7" t="str">
        <f>VLOOKUP(E7,Departments!$A$2:$D$6,3,FALSE)</f>
        <v>David Miller</v>
      </c>
      <c r="T7">
        <f>VLOOKUP(E7,Departments!$A$2:$D$6,4,FALSE)</f>
        <v>7000000</v>
      </c>
      <c r="U7">
        <f t="shared" si="5"/>
        <v>2020</v>
      </c>
      <c r="X7" s="11" t="s">
        <v>51</v>
      </c>
      <c r="Y7" s="12">
        <v>26</v>
      </c>
    </row>
    <row r="8" spans="1:25" x14ac:dyDescent="0.35">
      <c r="A8" s="2" t="s">
        <v>55</v>
      </c>
      <c r="B8" s="2" t="s">
        <v>56</v>
      </c>
      <c r="C8" s="2" t="s">
        <v>57</v>
      </c>
      <c r="D8" s="2" t="s">
        <v>39</v>
      </c>
      <c r="E8" s="2" t="s">
        <v>17</v>
      </c>
      <c r="F8" s="2" t="s">
        <v>58</v>
      </c>
      <c r="G8" s="3">
        <v>42165</v>
      </c>
      <c r="H8" s="4">
        <v>62500</v>
      </c>
      <c r="I8" s="4">
        <v>0</v>
      </c>
      <c r="J8" s="2" t="s">
        <v>19</v>
      </c>
      <c r="K8" s="2" t="s">
        <v>53</v>
      </c>
      <c r="L8" s="2" t="s">
        <v>21</v>
      </c>
      <c r="M8" s="2">
        <v>9436883827</v>
      </c>
      <c r="N8" t="str">
        <f t="shared" si="0"/>
        <v>Lucas Smith</v>
      </c>
      <c r="O8" s="8">
        <f t="shared" si="1"/>
        <v>62500</v>
      </c>
      <c r="P8">
        <f t="shared" ca="1" si="2"/>
        <v>11</v>
      </c>
      <c r="Q8" t="str">
        <f t="shared" si="3"/>
        <v>B</v>
      </c>
      <c r="R8" t="str">
        <f t="shared" ca="1" si="4"/>
        <v>9+ yrs</v>
      </c>
      <c r="S8" t="str">
        <f>VLOOKUP(E8,Departments!$A$2:$D$6,3,FALSE)</f>
        <v>Rekha Iyer</v>
      </c>
      <c r="T8">
        <f>VLOOKUP(E8,Departments!$A$2:$D$6,4,FALSE)</f>
        <v>5000000</v>
      </c>
      <c r="U8">
        <f t="shared" si="5"/>
        <v>2015</v>
      </c>
      <c r="X8" s="11" t="s">
        <v>33</v>
      </c>
      <c r="Y8" s="12">
        <v>15</v>
      </c>
    </row>
    <row r="9" spans="1:25" x14ac:dyDescent="0.35">
      <c r="A9" s="2" t="s">
        <v>60</v>
      </c>
      <c r="B9" s="2" t="s">
        <v>61</v>
      </c>
      <c r="C9" s="2" t="s">
        <v>32</v>
      </c>
      <c r="D9" s="2" t="s">
        <v>16</v>
      </c>
      <c r="E9" s="2" t="s">
        <v>17</v>
      </c>
      <c r="F9" s="2" t="s">
        <v>58</v>
      </c>
      <c r="G9" s="3">
        <v>45445</v>
      </c>
      <c r="H9" s="4">
        <v>39500</v>
      </c>
      <c r="I9" s="4">
        <v>0</v>
      </c>
      <c r="J9" s="2" t="s">
        <v>62</v>
      </c>
      <c r="K9" s="2" t="s">
        <v>29</v>
      </c>
      <c r="L9" s="2" t="s">
        <v>21</v>
      </c>
      <c r="M9" s="2">
        <v>9165143298</v>
      </c>
      <c r="N9" t="str">
        <f t="shared" si="0"/>
        <v>Riya Das</v>
      </c>
      <c r="O9" s="8">
        <f t="shared" si="1"/>
        <v>39500</v>
      </c>
      <c r="P9">
        <f t="shared" ca="1" si="2"/>
        <v>2</v>
      </c>
      <c r="Q9" t="str">
        <f t="shared" si="3"/>
        <v>C</v>
      </c>
      <c r="R9" t="str">
        <f t="shared" ca="1" si="4"/>
        <v>0-2 yrs</v>
      </c>
      <c r="S9" t="str">
        <f>VLOOKUP(E9,Departments!$A$2:$D$6,3,FALSE)</f>
        <v>Rekha Iyer</v>
      </c>
      <c r="T9">
        <f>VLOOKUP(E9,Departments!$A$2:$D$6,4,FALSE)</f>
        <v>5000000</v>
      </c>
      <c r="U9">
        <f t="shared" si="5"/>
        <v>2024</v>
      </c>
    </row>
    <row r="10" spans="1:25" x14ac:dyDescent="0.35">
      <c r="A10" s="2" t="s">
        <v>64</v>
      </c>
      <c r="B10" s="2" t="s">
        <v>65</v>
      </c>
      <c r="C10" s="2" t="s">
        <v>38</v>
      </c>
      <c r="D10" s="2" t="s">
        <v>16</v>
      </c>
      <c r="E10" s="2" t="s">
        <v>17</v>
      </c>
      <c r="F10" s="2" t="s">
        <v>18</v>
      </c>
      <c r="G10" s="3">
        <v>43426</v>
      </c>
      <c r="H10" s="4">
        <v>79000</v>
      </c>
      <c r="I10" s="4">
        <v>0</v>
      </c>
      <c r="J10" s="2" t="s">
        <v>62</v>
      </c>
      <c r="K10" s="2" t="s">
        <v>53</v>
      </c>
      <c r="L10" s="2" t="s">
        <v>21</v>
      </c>
      <c r="M10" s="2">
        <v>9630098818</v>
      </c>
      <c r="N10" t="str">
        <f t="shared" si="0"/>
        <v>Kavya Patel</v>
      </c>
      <c r="O10" s="8">
        <f t="shared" si="1"/>
        <v>79000</v>
      </c>
      <c r="P10">
        <f t="shared" ca="1" si="2"/>
        <v>7</v>
      </c>
      <c r="Q10" t="str">
        <f t="shared" si="3"/>
        <v>B</v>
      </c>
      <c r="R10" t="str">
        <f t="shared" ca="1" si="4"/>
        <v>6-8 yrs</v>
      </c>
      <c r="S10" t="str">
        <f>VLOOKUP(E10,Departments!$A$2:$D$6,3,FALSE)</f>
        <v>Rekha Iyer</v>
      </c>
      <c r="T10">
        <f>VLOOKUP(E10,Departments!$A$2:$D$6,4,FALSE)</f>
        <v>5000000</v>
      </c>
      <c r="U10">
        <f t="shared" si="5"/>
        <v>2018</v>
      </c>
    </row>
    <row r="11" spans="1:25" x14ac:dyDescent="0.35">
      <c r="A11" s="2" t="s">
        <v>67</v>
      </c>
      <c r="B11" s="2" t="s">
        <v>68</v>
      </c>
      <c r="C11" s="2" t="s">
        <v>50</v>
      </c>
      <c r="D11" s="2" t="s">
        <v>39</v>
      </c>
      <c r="E11" s="2" t="s">
        <v>33</v>
      </c>
      <c r="F11" s="2" t="s">
        <v>34</v>
      </c>
      <c r="G11" s="3">
        <v>43606</v>
      </c>
      <c r="H11" s="4">
        <v>66000</v>
      </c>
      <c r="I11" s="4">
        <v>3300</v>
      </c>
      <c r="J11" s="2" t="s">
        <v>69</v>
      </c>
      <c r="K11" s="2" t="s">
        <v>53</v>
      </c>
      <c r="L11" s="2" t="s">
        <v>21</v>
      </c>
      <c r="M11" s="2">
        <v>9247023327</v>
      </c>
      <c r="N11" t="str">
        <f t="shared" si="0"/>
        <v>Liam Davis</v>
      </c>
      <c r="O11" s="8">
        <f t="shared" si="1"/>
        <v>69300</v>
      </c>
      <c r="P11">
        <f t="shared" ca="1" si="2"/>
        <v>7</v>
      </c>
      <c r="Q11" t="str">
        <f t="shared" si="3"/>
        <v>B</v>
      </c>
      <c r="R11" t="str">
        <f t="shared" ca="1" si="4"/>
        <v>6-8 yrs</v>
      </c>
      <c r="S11" t="str">
        <f>VLOOKUP(E11,Departments!$A$2:$D$6,3,FALSE)</f>
        <v>Sunita Rao</v>
      </c>
      <c r="T11">
        <f>VLOOKUP(E11,Departments!$A$2:$D$6,4,FALSE)</f>
        <v>9000000</v>
      </c>
      <c r="U11">
        <f t="shared" si="5"/>
        <v>2019</v>
      </c>
    </row>
    <row r="12" spans="1:25" x14ac:dyDescent="0.35">
      <c r="A12" s="2" t="s">
        <v>71</v>
      </c>
      <c r="B12" s="2" t="s">
        <v>72</v>
      </c>
      <c r="C12" s="2" t="s">
        <v>45</v>
      </c>
      <c r="D12" s="2" t="s">
        <v>16</v>
      </c>
      <c r="E12" s="2" t="s">
        <v>17</v>
      </c>
      <c r="F12" s="2" t="s">
        <v>73</v>
      </c>
      <c r="G12" s="3">
        <v>42623</v>
      </c>
      <c r="H12" s="4">
        <v>50000</v>
      </c>
      <c r="I12" s="4">
        <v>0</v>
      </c>
      <c r="J12" s="2" t="s">
        <v>28</v>
      </c>
      <c r="K12" s="2" t="s">
        <v>53</v>
      </c>
      <c r="L12" s="2" t="s">
        <v>21</v>
      </c>
      <c r="M12" s="2">
        <v>9620724767</v>
      </c>
      <c r="N12" t="str">
        <f t="shared" si="0"/>
        <v>Pooja Nair</v>
      </c>
      <c r="O12" s="8">
        <f t="shared" si="1"/>
        <v>50000</v>
      </c>
      <c r="P12">
        <f t="shared" ca="1" si="2"/>
        <v>10</v>
      </c>
      <c r="Q12" t="str">
        <f t="shared" si="3"/>
        <v>C</v>
      </c>
      <c r="R12" t="str">
        <f t="shared" ca="1" si="4"/>
        <v>9+ yrs</v>
      </c>
      <c r="S12" t="str">
        <f>VLOOKUP(E12,Departments!$A$2:$D$6,3,FALSE)</f>
        <v>Rekha Iyer</v>
      </c>
      <c r="T12">
        <f>VLOOKUP(E12,Departments!$A$2:$D$6,4,FALSE)</f>
        <v>5000000</v>
      </c>
      <c r="U12">
        <f t="shared" si="5"/>
        <v>2016</v>
      </c>
    </row>
    <row r="13" spans="1:25" x14ac:dyDescent="0.35">
      <c r="A13" s="2" t="s">
        <v>75</v>
      </c>
      <c r="B13" s="2" t="s">
        <v>76</v>
      </c>
      <c r="C13" s="2" t="s">
        <v>38</v>
      </c>
      <c r="D13" s="2" t="s">
        <v>39</v>
      </c>
      <c r="E13" s="2" t="s">
        <v>17</v>
      </c>
      <c r="F13" s="2" t="s">
        <v>73</v>
      </c>
      <c r="G13" s="3">
        <v>43517</v>
      </c>
      <c r="H13" s="4">
        <v>70000</v>
      </c>
      <c r="I13" s="4">
        <v>7000</v>
      </c>
      <c r="J13" s="2" t="s">
        <v>28</v>
      </c>
      <c r="K13" s="2" t="s">
        <v>35</v>
      </c>
      <c r="L13" s="2" t="s">
        <v>77</v>
      </c>
      <c r="M13" s="2">
        <v>9653504709</v>
      </c>
      <c r="N13" t="str">
        <f t="shared" si="0"/>
        <v>Vikram Patel</v>
      </c>
      <c r="O13" s="8">
        <f t="shared" si="1"/>
        <v>77000</v>
      </c>
      <c r="P13">
        <f t="shared" ca="1" si="2"/>
        <v>7</v>
      </c>
      <c r="Q13" t="str">
        <f t="shared" si="3"/>
        <v>B</v>
      </c>
      <c r="R13" t="str">
        <f t="shared" ca="1" si="4"/>
        <v>6-8 yrs</v>
      </c>
      <c r="S13" t="str">
        <f>VLOOKUP(E13,Departments!$A$2:$D$6,3,FALSE)</f>
        <v>Rekha Iyer</v>
      </c>
      <c r="T13">
        <f>VLOOKUP(E13,Departments!$A$2:$D$6,4,FALSE)</f>
        <v>5000000</v>
      </c>
      <c r="U13">
        <f t="shared" si="5"/>
        <v>2019</v>
      </c>
    </row>
    <row r="14" spans="1:25" x14ac:dyDescent="0.35">
      <c r="A14" s="2" t="s">
        <v>79</v>
      </c>
      <c r="B14" s="2" t="s">
        <v>24</v>
      </c>
      <c r="C14" s="2" t="s">
        <v>15</v>
      </c>
      <c r="D14" s="2" t="s">
        <v>16</v>
      </c>
      <c r="E14" s="2" t="s">
        <v>17</v>
      </c>
      <c r="F14" s="2" t="s">
        <v>73</v>
      </c>
      <c r="G14" s="3">
        <v>42429</v>
      </c>
      <c r="H14" s="4">
        <v>61000</v>
      </c>
      <c r="I14" s="4">
        <v>3000</v>
      </c>
      <c r="J14" s="2" t="s">
        <v>19</v>
      </c>
      <c r="K14" s="2" t="s">
        <v>42</v>
      </c>
      <c r="L14" s="2" t="s">
        <v>21</v>
      </c>
      <c r="M14" s="2" t="s">
        <v>292</v>
      </c>
      <c r="N14" t="str">
        <f t="shared" si="0"/>
        <v>Divya Khan</v>
      </c>
      <c r="O14" s="8">
        <f t="shared" si="1"/>
        <v>64000</v>
      </c>
      <c r="P14">
        <f t="shared" ca="1" si="2"/>
        <v>10</v>
      </c>
      <c r="Q14" t="str">
        <f t="shared" si="3"/>
        <v>B</v>
      </c>
      <c r="R14" t="str">
        <f t="shared" ca="1" si="4"/>
        <v>9+ yrs</v>
      </c>
      <c r="S14" t="str">
        <f>VLOOKUP(E14,Departments!$A$2:$D$6,3,FALSE)</f>
        <v>Rekha Iyer</v>
      </c>
      <c r="T14">
        <f>VLOOKUP(E14,Departments!$A$2:$D$6,4,FALSE)</f>
        <v>5000000</v>
      </c>
      <c r="U14">
        <f t="shared" si="5"/>
        <v>2016</v>
      </c>
    </row>
    <row r="15" spans="1:25" x14ac:dyDescent="0.35">
      <c r="A15" s="2" t="s">
        <v>80</v>
      </c>
      <c r="B15" s="2" t="s">
        <v>81</v>
      </c>
      <c r="C15" s="2" t="s">
        <v>82</v>
      </c>
      <c r="D15" s="2" t="s">
        <v>39</v>
      </c>
      <c r="E15" s="2" t="s">
        <v>40</v>
      </c>
      <c r="F15" s="2" t="s">
        <v>83</v>
      </c>
      <c r="G15" s="3">
        <v>42424</v>
      </c>
      <c r="H15" s="4">
        <v>48500</v>
      </c>
      <c r="I15" s="4">
        <v>0</v>
      </c>
      <c r="J15" s="2" t="s">
        <v>28</v>
      </c>
      <c r="K15" s="2" t="s">
        <v>42</v>
      </c>
      <c r="L15" s="2" t="s">
        <v>21</v>
      </c>
      <c r="M15" s="2">
        <v>9758995368</v>
      </c>
      <c r="N15" t="str">
        <f t="shared" si="0"/>
        <v>Imran Sharma</v>
      </c>
      <c r="O15" s="8">
        <f t="shared" si="1"/>
        <v>48500</v>
      </c>
      <c r="P15">
        <f t="shared" ca="1" si="2"/>
        <v>10</v>
      </c>
      <c r="Q15" t="str">
        <f t="shared" si="3"/>
        <v>C</v>
      </c>
      <c r="R15" t="str">
        <f t="shared" ca="1" si="4"/>
        <v>9+ yrs</v>
      </c>
      <c r="S15" t="str">
        <f>VLOOKUP(E15,Departments!$A$2:$D$6,3,FALSE)</f>
        <v>Suresh Menon</v>
      </c>
      <c r="T15">
        <f>VLOOKUP(E15,Departments!$A$2:$D$6,4,FALSE)</f>
        <v>8000000</v>
      </c>
      <c r="U15">
        <f t="shared" si="5"/>
        <v>2016</v>
      </c>
    </row>
    <row r="16" spans="1:25" x14ac:dyDescent="0.35">
      <c r="A16" s="2" t="s">
        <v>85</v>
      </c>
      <c r="B16" s="2" t="s">
        <v>14</v>
      </c>
      <c r="C16" s="2" t="s">
        <v>86</v>
      </c>
      <c r="D16" s="2" t="s">
        <v>16</v>
      </c>
      <c r="E16" s="2" t="s">
        <v>51</v>
      </c>
      <c r="F16" s="2" t="s">
        <v>87</v>
      </c>
      <c r="G16" s="3">
        <v>44471</v>
      </c>
      <c r="H16" s="4">
        <v>63000</v>
      </c>
      <c r="I16" s="4">
        <v>0</v>
      </c>
      <c r="J16" s="2" t="s">
        <v>28</v>
      </c>
      <c r="K16" s="2" t="s">
        <v>53</v>
      </c>
      <c r="L16" s="2" t="s">
        <v>21</v>
      </c>
      <c r="M16" s="2">
        <v>9600352373</v>
      </c>
      <c r="N16" t="str">
        <f t="shared" si="0"/>
        <v>Ananya Taylor</v>
      </c>
      <c r="O16" s="8">
        <f t="shared" si="1"/>
        <v>63000</v>
      </c>
      <c r="P16">
        <f t="shared" ca="1" si="2"/>
        <v>5</v>
      </c>
      <c r="Q16" t="str">
        <f t="shared" si="3"/>
        <v>B</v>
      </c>
      <c r="R16" t="str">
        <f t="shared" ca="1" si="4"/>
        <v>3-5 yrs</v>
      </c>
      <c r="S16" t="str">
        <f>VLOOKUP(E16,Departments!$A$2:$D$6,3,FALSE)</f>
        <v>David Miller</v>
      </c>
      <c r="T16">
        <f>VLOOKUP(E16,Departments!$A$2:$D$6,4,FALSE)</f>
        <v>7000000</v>
      </c>
      <c r="U16">
        <f t="shared" si="5"/>
        <v>2021</v>
      </c>
    </row>
    <row r="17" spans="1:21" x14ac:dyDescent="0.35">
      <c r="A17" s="2" t="s">
        <v>89</v>
      </c>
      <c r="B17" s="2" t="s">
        <v>76</v>
      </c>
      <c r="C17" s="2" t="s">
        <v>90</v>
      </c>
      <c r="D17" s="2" t="s">
        <v>39</v>
      </c>
      <c r="E17" s="2" t="s">
        <v>26</v>
      </c>
      <c r="F17" s="2" t="s">
        <v>91</v>
      </c>
      <c r="G17" s="3">
        <v>45037</v>
      </c>
      <c r="H17" s="4">
        <v>105000</v>
      </c>
      <c r="I17" s="4">
        <v>0</v>
      </c>
      <c r="J17" s="2" t="s">
        <v>28</v>
      </c>
      <c r="K17" s="2" t="s">
        <v>35</v>
      </c>
      <c r="L17" s="2" t="s">
        <v>21</v>
      </c>
      <c r="M17" s="2">
        <v>9320347933</v>
      </c>
      <c r="N17" t="str">
        <f t="shared" si="0"/>
        <v>Vikram Johnson</v>
      </c>
      <c r="O17" s="8">
        <f t="shared" si="1"/>
        <v>105000</v>
      </c>
      <c r="P17">
        <f t="shared" ca="1" si="2"/>
        <v>3</v>
      </c>
      <c r="Q17" t="str">
        <f t="shared" si="3"/>
        <v>A</v>
      </c>
      <c r="R17" t="str">
        <f t="shared" ca="1" si="4"/>
        <v>3-5 yrs</v>
      </c>
      <c r="S17" t="str">
        <f>VLOOKUP(E17,Departments!$A$2:$D$6,3,FALSE)</f>
        <v>Anil Kumar</v>
      </c>
      <c r="T17">
        <f>VLOOKUP(E17,Departments!$A$2:$D$6,4,FALSE)</f>
        <v>15000000</v>
      </c>
      <c r="U17">
        <f t="shared" si="5"/>
        <v>2023</v>
      </c>
    </row>
    <row r="18" spans="1:21" x14ac:dyDescent="0.35">
      <c r="A18" s="2" t="s">
        <v>93</v>
      </c>
      <c r="B18" s="2" t="s">
        <v>94</v>
      </c>
      <c r="C18" s="2" t="s">
        <v>90</v>
      </c>
      <c r="D18" s="2" t="s">
        <v>39</v>
      </c>
      <c r="E18" s="2" t="s">
        <v>40</v>
      </c>
      <c r="F18" s="2" t="s">
        <v>83</v>
      </c>
      <c r="G18" s="3">
        <v>44638</v>
      </c>
      <c r="H18" s="4">
        <v>64500</v>
      </c>
      <c r="I18" s="4">
        <v>0</v>
      </c>
      <c r="J18" s="2" t="s">
        <v>19</v>
      </c>
      <c r="K18" s="2" t="s">
        <v>29</v>
      </c>
      <c r="L18" s="2" t="s">
        <v>21</v>
      </c>
      <c r="M18" s="2">
        <v>9279360017</v>
      </c>
      <c r="N18" t="str">
        <f t="shared" si="0"/>
        <v>Noah Johnson</v>
      </c>
      <c r="O18" s="8">
        <f t="shared" si="1"/>
        <v>64500</v>
      </c>
      <c r="P18">
        <f t="shared" ca="1" si="2"/>
        <v>4</v>
      </c>
      <c r="Q18" t="str">
        <f t="shared" si="3"/>
        <v>B</v>
      </c>
      <c r="R18" t="str">
        <f t="shared" ca="1" si="4"/>
        <v>3-5 yrs</v>
      </c>
      <c r="S18" t="str">
        <f>VLOOKUP(E18,Departments!$A$2:$D$6,3,FALSE)</f>
        <v>Suresh Menon</v>
      </c>
      <c r="T18">
        <f>VLOOKUP(E18,Departments!$A$2:$D$6,4,FALSE)</f>
        <v>8000000</v>
      </c>
      <c r="U18">
        <f t="shared" si="5"/>
        <v>2022</v>
      </c>
    </row>
    <row r="19" spans="1:21" x14ac:dyDescent="0.35">
      <c r="A19" s="2" t="s">
        <v>96</v>
      </c>
      <c r="B19" s="2" t="s">
        <v>44</v>
      </c>
      <c r="C19" s="2" t="s">
        <v>15</v>
      </c>
      <c r="D19" s="2" t="s">
        <v>16</v>
      </c>
      <c r="E19" s="2" t="s">
        <v>33</v>
      </c>
      <c r="F19" s="2" t="s">
        <v>34</v>
      </c>
      <c r="G19" s="3">
        <v>45328</v>
      </c>
      <c r="H19" s="4">
        <v>80000</v>
      </c>
      <c r="I19" s="4">
        <v>0</v>
      </c>
      <c r="J19" s="2" t="s">
        <v>19</v>
      </c>
      <c r="K19" s="2" t="s">
        <v>97</v>
      </c>
      <c r="L19" s="2" t="s">
        <v>21</v>
      </c>
      <c r="M19" s="2">
        <v>9343459673</v>
      </c>
      <c r="N19" t="str">
        <f t="shared" si="0"/>
        <v>Emma Khan</v>
      </c>
      <c r="O19" s="8">
        <f t="shared" si="1"/>
        <v>80000</v>
      </c>
      <c r="P19">
        <f t="shared" ca="1" si="2"/>
        <v>2</v>
      </c>
      <c r="Q19" t="str">
        <f t="shared" si="3"/>
        <v>B</v>
      </c>
      <c r="R19" t="str">
        <f t="shared" ca="1" si="4"/>
        <v>0-2 yrs</v>
      </c>
      <c r="S19" t="str">
        <f>VLOOKUP(E19,Departments!$A$2:$D$6,3,FALSE)</f>
        <v>Sunita Rao</v>
      </c>
      <c r="T19">
        <f>VLOOKUP(E19,Departments!$A$2:$D$6,4,FALSE)</f>
        <v>9000000</v>
      </c>
      <c r="U19">
        <f t="shared" si="5"/>
        <v>2024</v>
      </c>
    </row>
    <row r="20" spans="1:21" x14ac:dyDescent="0.35">
      <c r="A20" s="2" t="s">
        <v>99</v>
      </c>
      <c r="B20" s="2" t="s">
        <v>100</v>
      </c>
      <c r="C20" s="2" t="s">
        <v>101</v>
      </c>
      <c r="D20" s="2" t="s">
        <v>16</v>
      </c>
      <c r="E20" s="2" t="s">
        <v>26</v>
      </c>
      <c r="F20" s="2" t="s">
        <v>102</v>
      </c>
      <c r="G20" s="3">
        <v>45241</v>
      </c>
      <c r="H20" s="4">
        <v>63500</v>
      </c>
      <c r="I20" s="4">
        <v>0</v>
      </c>
      <c r="J20" s="2" t="s">
        <v>28</v>
      </c>
      <c r="K20" s="2" t="s">
        <v>53</v>
      </c>
      <c r="L20" s="2" t="s">
        <v>21</v>
      </c>
      <c r="M20" s="2">
        <v>9469668829</v>
      </c>
      <c r="N20" t="str">
        <f t="shared" si="0"/>
        <v>Olivia Wilson</v>
      </c>
      <c r="O20" s="8">
        <f t="shared" si="1"/>
        <v>63500</v>
      </c>
      <c r="P20">
        <f t="shared" ca="1" si="2"/>
        <v>2</v>
      </c>
      <c r="Q20" t="str">
        <f t="shared" si="3"/>
        <v>B</v>
      </c>
      <c r="R20" t="str">
        <f t="shared" ca="1" si="4"/>
        <v>0-2 yrs</v>
      </c>
      <c r="S20" t="str">
        <f>VLOOKUP(E20,Departments!$A$2:$D$6,3,FALSE)</f>
        <v>Anil Kumar</v>
      </c>
      <c r="T20">
        <f>VLOOKUP(E20,Departments!$A$2:$D$6,4,FALSE)</f>
        <v>15000000</v>
      </c>
      <c r="U20">
        <f t="shared" si="5"/>
        <v>2023</v>
      </c>
    </row>
    <row r="21" spans="1:21" x14ac:dyDescent="0.35">
      <c r="A21" s="2" t="s">
        <v>104</v>
      </c>
      <c r="B21" s="2" t="s">
        <v>105</v>
      </c>
      <c r="C21" s="2" t="s">
        <v>82</v>
      </c>
      <c r="D21" s="2" t="s">
        <v>39</v>
      </c>
      <c r="E21" s="2" t="s">
        <v>26</v>
      </c>
      <c r="F21" s="2" t="s">
        <v>106</v>
      </c>
      <c r="G21" s="3">
        <v>43930</v>
      </c>
      <c r="H21" s="4">
        <v>89500</v>
      </c>
      <c r="I21" s="4">
        <v>0</v>
      </c>
      <c r="J21" s="2" t="s">
        <v>28</v>
      </c>
      <c r="K21" s="2" t="s">
        <v>35</v>
      </c>
      <c r="L21" s="2" t="s">
        <v>21</v>
      </c>
      <c r="M21" s="2">
        <v>9755263987</v>
      </c>
      <c r="N21" t="str">
        <f t="shared" si="0"/>
        <v>Rohan Sharma</v>
      </c>
      <c r="O21" s="8">
        <f t="shared" si="1"/>
        <v>89500</v>
      </c>
      <c r="P21">
        <f t="shared" ca="1" si="2"/>
        <v>6</v>
      </c>
      <c r="Q21" t="str">
        <f t="shared" si="3"/>
        <v>B</v>
      </c>
      <c r="R21" t="str">
        <f t="shared" ca="1" si="4"/>
        <v>6-8 yrs</v>
      </c>
      <c r="S21" t="str">
        <f>VLOOKUP(E21,Departments!$A$2:$D$6,3,FALSE)</f>
        <v>Anil Kumar</v>
      </c>
      <c r="T21">
        <f>VLOOKUP(E21,Departments!$A$2:$D$6,4,FALSE)</f>
        <v>15000000</v>
      </c>
      <c r="U21">
        <f t="shared" si="5"/>
        <v>2020</v>
      </c>
    </row>
    <row r="22" spans="1:21" x14ac:dyDescent="0.35">
      <c r="A22" s="2" t="s">
        <v>108</v>
      </c>
      <c r="B22" s="2" t="s">
        <v>109</v>
      </c>
      <c r="C22" s="2" t="s">
        <v>50</v>
      </c>
      <c r="D22" s="2" t="s">
        <v>16</v>
      </c>
      <c r="E22" s="2" t="s">
        <v>26</v>
      </c>
      <c r="F22" s="2" t="s">
        <v>102</v>
      </c>
      <c r="G22" s="3">
        <v>42496</v>
      </c>
      <c r="H22" s="4">
        <v>146500</v>
      </c>
      <c r="I22" s="4">
        <v>7300</v>
      </c>
      <c r="J22" s="2" t="s">
        <v>19</v>
      </c>
      <c r="K22" s="2" t="s">
        <v>20</v>
      </c>
      <c r="L22" s="2" t="s">
        <v>21</v>
      </c>
      <c r="M22" s="2">
        <v>9291686239</v>
      </c>
      <c r="N22" t="str">
        <f t="shared" si="0"/>
        <v>Sophia Davis</v>
      </c>
      <c r="O22" s="8">
        <f t="shared" si="1"/>
        <v>153800</v>
      </c>
      <c r="P22">
        <f t="shared" ca="1" si="2"/>
        <v>10</v>
      </c>
      <c r="Q22" t="str">
        <f t="shared" si="3"/>
        <v>A</v>
      </c>
      <c r="R22" t="str">
        <f t="shared" ca="1" si="4"/>
        <v>9+ yrs</v>
      </c>
      <c r="S22" t="str">
        <f>VLOOKUP(E22,Departments!$A$2:$D$6,3,FALSE)</f>
        <v>Anil Kumar</v>
      </c>
      <c r="T22">
        <f>VLOOKUP(E22,Departments!$A$2:$D$6,4,FALSE)</f>
        <v>15000000</v>
      </c>
      <c r="U22">
        <f t="shared" si="5"/>
        <v>2016</v>
      </c>
    </row>
    <row r="23" spans="1:21" x14ac:dyDescent="0.35">
      <c r="A23" s="2" t="s">
        <v>111</v>
      </c>
      <c r="B23" s="2" t="s">
        <v>112</v>
      </c>
      <c r="C23" s="2" t="s">
        <v>113</v>
      </c>
      <c r="D23" s="2" t="s">
        <v>16</v>
      </c>
      <c r="E23" s="2" t="s">
        <v>17</v>
      </c>
      <c r="F23" s="2" t="s">
        <v>58</v>
      </c>
      <c r="G23" s="3">
        <v>44973</v>
      </c>
      <c r="H23" s="4">
        <v>40500</v>
      </c>
      <c r="I23" s="4">
        <v>0</v>
      </c>
      <c r="J23" s="2" t="s">
        <v>28</v>
      </c>
      <c r="K23" s="2" t="s">
        <v>29</v>
      </c>
      <c r="L23" s="2" t="s">
        <v>21</v>
      </c>
      <c r="M23" s="2">
        <v>9599669927</v>
      </c>
      <c r="N23" t="str">
        <f t="shared" si="0"/>
        <v>Meera Reddy</v>
      </c>
      <c r="O23" s="8">
        <f t="shared" si="1"/>
        <v>40500</v>
      </c>
      <c r="P23">
        <f t="shared" ca="1" si="2"/>
        <v>3</v>
      </c>
      <c r="Q23" t="str">
        <f t="shared" si="3"/>
        <v>C</v>
      </c>
      <c r="R23" t="str">
        <f t="shared" ca="1" si="4"/>
        <v>3-5 yrs</v>
      </c>
      <c r="S23" t="str">
        <f>VLOOKUP(E23,Departments!$A$2:$D$6,3,FALSE)</f>
        <v>Rekha Iyer</v>
      </c>
      <c r="T23">
        <f>VLOOKUP(E23,Departments!$A$2:$D$6,4,FALSE)</f>
        <v>5000000</v>
      </c>
      <c r="U23">
        <f t="shared" si="5"/>
        <v>2023</v>
      </c>
    </row>
    <row r="24" spans="1:21" x14ac:dyDescent="0.35">
      <c r="A24" s="2" t="s">
        <v>115</v>
      </c>
      <c r="B24" s="2" t="s">
        <v>44</v>
      </c>
      <c r="C24" s="2" t="s">
        <v>116</v>
      </c>
      <c r="D24" s="2" t="s">
        <v>16</v>
      </c>
      <c r="E24" s="2" t="s">
        <v>51</v>
      </c>
      <c r="F24" s="2" t="s">
        <v>117</v>
      </c>
      <c r="G24" s="3">
        <v>44252</v>
      </c>
      <c r="H24" s="4">
        <v>50000</v>
      </c>
      <c r="I24" s="4">
        <v>5000</v>
      </c>
      <c r="J24" s="2" t="s">
        <v>69</v>
      </c>
      <c r="K24" s="2" t="s">
        <v>35</v>
      </c>
      <c r="L24" s="2" t="s">
        <v>21</v>
      </c>
      <c r="M24" s="2">
        <v>9797582865</v>
      </c>
      <c r="N24" t="str">
        <f t="shared" si="0"/>
        <v>Emma Gupta</v>
      </c>
      <c r="O24" s="8">
        <f t="shared" si="1"/>
        <v>55000</v>
      </c>
      <c r="P24">
        <f t="shared" ca="1" si="2"/>
        <v>5</v>
      </c>
      <c r="Q24" t="str">
        <f t="shared" si="3"/>
        <v>C</v>
      </c>
      <c r="R24" t="str">
        <f t="shared" ca="1" si="4"/>
        <v>3-5 yrs</v>
      </c>
      <c r="S24" t="str">
        <f>VLOOKUP(E24,Departments!$A$2:$D$6,3,FALSE)</f>
        <v>David Miller</v>
      </c>
      <c r="T24">
        <f>VLOOKUP(E24,Departments!$A$2:$D$6,4,FALSE)</f>
        <v>7000000</v>
      </c>
      <c r="U24">
        <f t="shared" si="5"/>
        <v>2021</v>
      </c>
    </row>
    <row r="25" spans="1:21" x14ac:dyDescent="0.35">
      <c r="A25" s="2" t="s">
        <v>119</v>
      </c>
      <c r="B25" s="2" t="s">
        <v>120</v>
      </c>
      <c r="C25" s="2" t="s">
        <v>57</v>
      </c>
      <c r="D25" s="2" t="s">
        <v>39</v>
      </c>
      <c r="E25" s="2" t="s">
        <v>33</v>
      </c>
      <c r="F25" s="2" t="s">
        <v>121</v>
      </c>
      <c r="G25" s="3">
        <v>45584</v>
      </c>
      <c r="H25" s="4">
        <v>94000</v>
      </c>
      <c r="I25" s="4">
        <v>0</v>
      </c>
      <c r="J25" s="2" t="s">
        <v>69</v>
      </c>
      <c r="K25" s="2" t="s">
        <v>29</v>
      </c>
      <c r="L25" s="2" t="s">
        <v>21</v>
      </c>
      <c r="M25" s="2">
        <v>9919994920</v>
      </c>
      <c r="N25" t="str">
        <f t="shared" si="0"/>
        <v>Karan Smith</v>
      </c>
      <c r="O25" s="8">
        <f t="shared" si="1"/>
        <v>94000</v>
      </c>
      <c r="P25">
        <f t="shared" ca="1" si="2"/>
        <v>2</v>
      </c>
      <c r="Q25" t="str">
        <f t="shared" si="3"/>
        <v>B</v>
      </c>
      <c r="R25" t="str">
        <f t="shared" ca="1" si="4"/>
        <v>0-2 yrs</v>
      </c>
      <c r="S25" t="str">
        <f>VLOOKUP(E25,Departments!$A$2:$D$6,3,FALSE)</f>
        <v>Sunita Rao</v>
      </c>
      <c r="T25">
        <f>VLOOKUP(E25,Departments!$A$2:$D$6,4,FALSE)</f>
        <v>9000000</v>
      </c>
      <c r="U25">
        <f t="shared" si="5"/>
        <v>2024</v>
      </c>
    </row>
    <row r="26" spans="1:21" x14ac:dyDescent="0.35">
      <c r="A26" s="2" t="s">
        <v>123</v>
      </c>
      <c r="B26" s="2" t="s">
        <v>124</v>
      </c>
      <c r="C26" s="2" t="s">
        <v>50</v>
      </c>
      <c r="D26" s="2" t="s">
        <v>16</v>
      </c>
      <c r="E26" s="2" t="s">
        <v>33</v>
      </c>
      <c r="F26" s="2" t="s">
        <v>34</v>
      </c>
      <c r="G26" s="3">
        <v>45035</v>
      </c>
      <c r="H26" s="4">
        <v>44000</v>
      </c>
      <c r="I26" s="4">
        <v>0</v>
      </c>
      <c r="J26" s="2" t="s">
        <v>19</v>
      </c>
      <c r="K26" s="2" t="s">
        <v>42</v>
      </c>
      <c r="L26" s="2" t="s">
        <v>21</v>
      </c>
      <c r="M26" s="2">
        <v>9654867725</v>
      </c>
      <c r="N26" t="str">
        <f t="shared" si="0"/>
        <v>Ava Davis</v>
      </c>
      <c r="O26" s="8">
        <f t="shared" si="1"/>
        <v>44000</v>
      </c>
      <c r="P26">
        <f t="shared" ca="1" si="2"/>
        <v>3</v>
      </c>
      <c r="Q26" t="str">
        <f t="shared" si="3"/>
        <v>C</v>
      </c>
      <c r="R26" t="str">
        <f t="shared" ca="1" si="4"/>
        <v>3-5 yrs</v>
      </c>
      <c r="S26" t="str">
        <f>VLOOKUP(E26,Departments!$A$2:$D$6,3,FALSE)</f>
        <v>Sunita Rao</v>
      </c>
      <c r="T26">
        <f>VLOOKUP(E26,Departments!$A$2:$D$6,4,FALSE)</f>
        <v>9000000</v>
      </c>
      <c r="U26">
        <f t="shared" si="5"/>
        <v>2023</v>
      </c>
    </row>
    <row r="27" spans="1:21" x14ac:dyDescent="0.35">
      <c r="A27" s="2" t="s">
        <v>126</v>
      </c>
      <c r="B27" s="2" t="s">
        <v>127</v>
      </c>
      <c r="C27" s="2" t="s">
        <v>45</v>
      </c>
      <c r="D27" s="2" t="s">
        <v>39</v>
      </c>
      <c r="E27" s="2" t="s">
        <v>40</v>
      </c>
      <c r="F27" s="2" t="s">
        <v>83</v>
      </c>
      <c r="G27" s="3">
        <v>45580</v>
      </c>
      <c r="H27" s="4">
        <v>46000</v>
      </c>
      <c r="I27" s="4">
        <v>2300</v>
      </c>
      <c r="J27" s="2" t="s">
        <v>19</v>
      </c>
      <c r="K27" s="2" t="s">
        <v>97</v>
      </c>
      <c r="L27" s="2" t="s">
        <v>21</v>
      </c>
      <c r="M27" s="2">
        <v>9260849193</v>
      </c>
      <c r="N27" t="str">
        <f t="shared" si="0"/>
        <v>Sanjay Nair</v>
      </c>
      <c r="O27" s="8">
        <f t="shared" si="1"/>
        <v>48300</v>
      </c>
      <c r="P27">
        <f t="shared" ca="1" si="2"/>
        <v>2</v>
      </c>
      <c r="Q27" t="str">
        <f t="shared" si="3"/>
        <v>C</v>
      </c>
      <c r="R27" t="str">
        <f t="shared" ca="1" si="4"/>
        <v>0-2 yrs</v>
      </c>
      <c r="S27" t="str">
        <f>VLOOKUP(E27,Departments!$A$2:$D$6,3,FALSE)</f>
        <v>Suresh Menon</v>
      </c>
      <c r="T27">
        <f>VLOOKUP(E27,Departments!$A$2:$D$6,4,FALSE)</f>
        <v>8000000</v>
      </c>
      <c r="U27">
        <f t="shared" si="5"/>
        <v>2024</v>
      </c>
    </row>
    <row r="28" spans="1:21" x14ac:dyDescent="0.35">
      <c r="A28" s="2" t="s">
        <v>129</v>
      </c>
      <c r="B28" s="2" t="s">
        <v>127</v>
      </c>
      <c r="C28" s="2" t="s">
        <v>38</v>
      </c>
      <c r="D28" s="2" t="s">
        <v>39</v>
      </c>
      <c r="E28" s="2" t="s">
        <v>26</v>
      </c>
      <c r="F28" s="2" t="s">
        <v>91</v>
      </c>
      <c r="G28" s="3">
        <v>44799</v>
      </c>
      <c r="H28" s="4">
        <v>102500</v>
      </c>
      <c r="I28" s="4">
        <v>10200</v>
      </c>
      <c r="J28" s="2" t="s">
        <v>28</v>
      </c>
      <c r="K28" s="2" t="s">
        <v>42</v>
      </c>
      <c r="L28" s="2" t="s">
        <v>21</v>
      </c>
      <c r="M28" s="2">
        <v>9701613399</v>
      </c>
      <c r="N28" t="str">
        <f t="shared" si="0"/>
        <v>Sanjay Patel</v>
      </c>
      <c r="O28" s="8">
        <f t="shared" si="1"/>
        <v>112700</v>
      </c>
      <c r="P28">
        <f t="shared" ca="1" si="2"/>
        <v>4</v>
      </c>
      <c r="Q28" t="str">
        <f t="shared" si="3"/>
        <v>A</v>
      </c>
      <c r="R28" t="str">
        <f t="shared" ca="1" si="4"/>
        <v>3-5 yrs</v>
      </c>
      <c r="S28" t="str">
        <f>VLOOKUP(E28,Departments!$A$2:$D$6,3,FALSE)</f>
        <v>Anil Kumar</v>
      </c>
      <c r="T28">
        <f>VLOOKUP(E28,Departments!$A$2:$D$6,4,FALSE)</f>
        <v>15000000</v>
      </c>
      <c r="U28">
        <f t="shared" si="5"/>
        <v>2022</v>
      </c>
    </row>
    <row r="29" spans="1:21" x14ac:dyDescent="0.35">
      <c r="A29" s="2" t="s">
        <v>131</v>
      </c>
      <c r="B29" s="2" t="s">
        <v>31</v>
      </c>
      <c r="C29" s="2" t="s">
        <v>57</v>
      </c>
      <c r="D29" s="2" t="s">
        <v>16</v>
      </c>
      <c r="E29" s="2" t="s">
        <v>26</v>
      </c>
      <c r="F29" s="2" t="s">
        <v>91</v>
      </c>
      <c r="G29" s="3">
        <v>43857</v>
      </c>
      <c r="H29" s="4">
        <v>126500</v>
      </c>
      <c r="I29" s="4">
        <v>12600</v>
      </c>
      <c r="J29" s="2" t="s">
        <v>69</v>
      </c>
      <c r="K29" s="2" t="s">
        <v>35</v>
      </c>
      <c r="L29" s="2" t="s">
        <v>46</v>
      </c>
      <c r="M29" s="2" t="s">
        <v>292</v>
      </c>
      <c r="N29" t="str">
        <f t="shared" si="0"/>
        <v>Priya Smith</v>
      </c>
      <c r="O29" s="8">
        <f t="shared" si="1"/>
        <v>139100</v>
      </c>
      <c r="P29">
        <f t="shared" ca="1" si="2"/>
        <v>6</v>
      </c>
      <c r="Q29" t="str">
        <f t="shared" si="3"/>
        <v>A</v>
      </c>
      <c r="R29" t="str">
        <f t="shared" ca="1" si="4"/>
        <v>6-8 yrs</v>
      </c>
      <c r="S29" t="str">
        <f>VLOOKUP(E29,Departments!$A$2:$D$6,3,FALSE)</f>
        <v>Anil Kumar</v>
      </c>
      <c r="T29">
        <f>VLOOKUP(E29,Departments!$A$2:$D$6,4,FALSE)</f>
        <v>15000000</v>
      </c>
      <c r="U29">
        <f t="shared" si="5"/>
        <v>2020</v>
      </c>
    </row>
    <row r="30" spans="1:21" x14ac:dyDescent="0.35">
      <c r="A30" s="2" t="s">
        <v>132</v>
      </c>
      <c r="B30" s="2" t="s">
        <v>112</v>
      </c>
      <c r="C30" s="2" t="s">
        <v>15</v>
      </c>
      <c r="D30" s="2" t="s">
        <v>16</v>
      </c>
      <c r="E30" s="2" t="s">
        <v>40</v>
      </c>
      <c r="F30" s="2" t="s">
        <v>133</v>
      </c>
      <c r="G30" s="3">
        <v>45311</v>
      </c>
      <c r="H30" s="4">
        <v>80000</v>
      </c>
      <c r="I30" s="4">
        <v>4000</v>
      </c>
      <c r="J30" s="2" t="s">
        <v>28</v>
      </c>
      <c r="K30" s="2" t="s">
        <v>42</v>
      </c>
      <c r="L30" s="2" t="s">
        <v>21</v>
      </c>
      <c r="M30" s="2">
        <v>9378735098</v>
      </c>
      <c r="N30" t="str">
        <f t="shared" si="0"/>
        <v>Meera Khan</v>
      </c>
      <c r="O30" s="8">
        <f t="shared" si="1"/>
        <v>84000</v>
      </c>
      <c r="P30">
        <f t="shared" ca="1" si="2"/>
        <v>2</v>
      </c>
      <c r="Q30" t="str">
        <f t="shared" si="3"/>
        <v>B</v>
      </c>
      <c r="R30" t="str">
        <f t="shared" ca="1" si="4"/>
        <v>0-2 yrs</v>
      </c>
      <c r="S30" t="str">
        <f>VLOOKUP(E30,Departments!$A$2:$D$6,3,FALSE)</f>
        <v>Suresh Menon</v>
      </c>
      <c r="T30">
        <f>VLOOKUP(E30,Departments!$A$2:$D$6,4,FALSE)</f>
        <v>8000000</v>
      </c>
      <c r="U30">
        <f t="shared" si="5"/>
        <v>2024</v>
      </c>
    </row>
    <row r="31" spans="1:21" x14ac:dyDescent="0.35">
      <c r="A31" s="2" t="s">
        <v>135</v>
      </c>
      <c r="B31" s="2" t="s">
        <v>136</v>
      </c>
      <c r="C31" s="2" t="s">
        <v>116</v>
      </c>
      <c r="D31" s="2" t="s">
        <v>16</v>
      </c>
      <c r="E31" s="2" t="s">
        <v>17</v>
      </c>
      <c r="F31" s="2" t="s">
        <v>18</v>
      </c>
      <c r="G31" s="3">
        <v>43299</v>
      </c>
      <c r="H31" s="4">
        <v>64000</v>
      </c>
      <c r="I31" s="4">
        <v>0</v>
      </c>
      <c r="J31" s="2" t="s">
        <v>19</v>
      </c>
      <c r="K31" s="2" t="s">
        <v>35</v>
      </c>
      <c r="L31" s="2" t="s">
        <v>21</v>
      </c>
      <c r="M31" s="2">
        <v>9425107627</v>
      </c>
      <c r="N31" t="str">
        <f t="shared" si="0"/>
        <v>Sneha Gupta</v>
      </c>
      <c r="O31" s="8">
        <f t="shared" si="1"/>
        <v>64000</v>
      </c>
      <c r="P31">
        <f t="shared" ca="1" si="2"/>
        <v>8</v>
      </c>
      <c r="Q31" t="str">
        <f t="shared" si="3"/>
        <v>B</v>
      </c>
      <c r="R31" t="str">
        <f t="shared" ca="1" si="4"/>
        <v>6-8 yrs</v>
      </c>
      <c r="S31" t="str">
        <f>VLOOKUP(E31,Departments!$A$2:$D$6,3,FALSE)</f>
        <v>Rekha Iyer</v>
      </c>
      <c r="T31">
        <f>VLOOKUP(E31,Departments!$A$2:$D$6,4,FALSE)</f>
        <v>5000000</v>
      </c>
      <c r="U31">
        <f t="shared" si="5"/>
        <v>2018</v>
      </c>
    </row>
    <row r="32" spans="1:21" x14ac:dyDescent="0.35">
      <c r="A32" s="2" t="s">
        <v>138</v>
      </c>
      <c r="B32" s="2" t="s">
        <v>14</v>
      </c>
      <c r="C32" s="2" t="s">
        <v>25</v>
      </c>
      <c r="D32" s="2" t="s">
        <v>16</v>
      </c>
      <c r="E32" s="2" t="s">
        <v>51</v>
      </c>
      <c r="F32" s="2" t="s">
        <v>52</v>
      </c>
      <c r="G32" s="3">
        <v>43920</v>
      </c>
      <c r="H32" s="4">
        <v>49000</v>
      </c>
      <c r="I32" s="4">
        <v>0</v>
      </c>
      <c r="J32" s="2" t="s">
        <v>19</v>
      </c>
      <c r="K32" s="2" t="s">
        <v>35</v>
      </c>
      <c r="L32" s="2" t="s">
        <v>21</v>
      </c>
      <c r="M32" s="2">
        <v>9274799977</v>
      </c>
      <c r="N32" t="str">
        <f t="shared" si="0"/>
        <v>Ananya Mehta</v>
      </c>
      <c r="O32" s="8">
        <f t="shared" si="1"/>
        <v>49000</v>
      </c>
      <c r="P32">
        <f t="shared" ca="1" si="2"/>
        <v>6</v>
      </c>
      <c r="Q32" t="str">
        <f t="shared" si="3"/>
        <v>C</v>
      </c>
      <c r="R32" t="str">
        <f t="shared" ca="1" si="4"/>
        <v>6-8 yrs</v>
      </c>
      <c r="S32" t="str">
        <f>VLOOKUP(E32,Departments!$A$2:$D$6,3,FALSE)</f>
        <v>David Miller</v>
      </c>
      <c r="T32">
        <f>VLOOKUP(E32,Departments!$A$2:$D$6,4,FALSE)</f>
        <v>7000000</v>
      </c>
      <c r="U32">
        <f t="shared" si="5"/>
        <v>2020</v>
      </c>
    </row>
    <row r="33" spans="1:21" x14ac:dyDescent="0.35">
      <c r="A33" s="2" t="s">
        <v>140</v>
      </c>
      <c r="B33" s="2" t="s">
        <v>141</v>
      </c>
      <c r="C33" s="2" t="s">
        <v>101</v>
      </c>
      <c r="D33" s="2" t="s">
        <v>16</v>
      </c>
      <c r="E33" s="2" t="s">
        <v>17</v>
      </c>
      <c r="F33" s="2" t="s">
        <v>73</v>
      </c>
      <c r="G33" s="3">
        <v>43730</v>
      </c>
      <c r="H33" s="4">
        <v>57000</v>
      </c>
      <c r="I33" s="4">
        <v>0</v>
      </c>
      <c r="J33" s="2" t="s">
        <v>28</v>
      </c>
      <c r="K33" s="2" t="s">
        <v>35</v>
      </c>
      <c r="L33" s="2" t="s">
        <v>21</v>
      </c>
      <c r="M33" s="2">
        <v>9462902921</v>
      </c>
      <c r="N33" t="str">
        <f t="shared" si="0"/>
        <v>Isha Wilson</v>
      </c>
      <c r="O33" s="8">
        <f t="shared" si="1"/>
        <v>57000</v>
      </c>
      <c r="P33">
        <f t="shared" ca="1" si="2"/>
        <v>7</v>
      </c>
      <c r="Q33" t="str">
        <f t="shared" si="3"/>
        <v>C</v>
      </c>
      <c r="R33" t="str">
        <f t="shared" ca="1" si="4"/>
        <v>6-8 yrs</v>
      </c>
      <c r="S33" t="str">
        <f>VLOOKUP(E33,Departments!$A$2:$D$6,3,FALSE)</f>
        <v>Rekha Iyer</v>
      </c>
      <c r="T33">
        <f>VLOOKUP(E33,Departments!$A$2:$D$6,4,FALSE)</f>
        <v>5000000</v>
      </c>
      <c r="U33">
        <f t="shared" si="5"/>
        <v>2019</v>
      </c>
    </row>
    <row r="34" spans="1:21" x14ac:dyDescent="0.35">
      <c r="A34" s="2" t="s">
        <v>143</v>
      </c>
      <c r="B34" s="2" t="s">
        <v>120</v>
      </c>
      <c r="C34" s="2" t="s">
        <v>25</v>
      </c>
      <c r="D34" s="2" t="s">
        <v>39</v>
      </c>
      <c r="E34" s="2" t="s">
        <v>51</v>
      </c>
      <c r="F34" s="2" t="s">
        <v>52</v>
      </c>
      <c r="G34" s="3">
        <v>44560</v>
      </c>
      <c r="H34" s="4">
        <v>74000</v>
      </c>
      <c r="I34" s="4">
        <v>0</v>
      </c>
      <c r="J34" s="2" t="s">
        <v>28</v>
      </c>
      <c r="K34" s="2" t="s">
        <v>20</v>
      </c>
      <c r="L34" s="2" t="s">
        <v>21</v>
      </c>
      <c r="M34" s="2">
        <v>9946498388</v>
      </c>
      <c r="N34" t="str">
        <f t="shared" si="0"/>
        <v>Karan Mehta</v>
      </c>
      <c r="O34" s="8">
        <f t="shared" si="1"/>
        <v>74000</v>
      </c>
      <c r="P34">
        <f t="shared" ca="1" si="2"/>
        <v>4</v>
      </c>
      <c r="Q34" t="str">
        <f t="shared" si="3"/>
        <v>B</v>
      </c>
      <c r="R34" t="str">
        <f t="shared" ca="1" si="4"/>
        <v>3-5 yrs</v>
      </c>
      <c r="S34" t="str">
        <f>VLOOKUP(E34,Departments!$A$2:$D$6,3,FALSE)</f>
        <v>David Miller</v>
      </c>
      <c r="T34">
        <f>VLOOKUP(E34,Departments!$A$2:$D$6,4,FALSE)</f>
        <v>7000000</v>
      </c>
      <c r="U34">
        <f t="shared" si="5"/>
        <v>2021</v>
      </c>
    </row>
    <row r="35" spans="1:21" x14ac:dyDescent="0.35">
      <c r="A35" s="2" t="s">
        <v>145</v>
      </c>
      <c r="B35" s="2" t="s">
        <v>65</v>
      </c>
      <c r="C35" s="2" t="s">
        <v>146</v>
      </c>
      <c r="D35" s="2" t="s">
        <v>16</v>
      </c>
      <c r="E35" s="2" t="s">
        <v>26</v>
      </c>
      <c r="F35" s="2" t="s">
        <v>91</v>
      </c>
      <c r="G35" s="3">
        <v>43112</v>
      </c>
      <c r="H35" s="4">
        <v>84000</v>
      </c>
      <c r="I35" s="4">
        <v>0</v>
      </c>
      <c r="J35" s="2" t="s">
        <v>19</v>
      </c>
      <c r="K35" s="2" t="s">
        <v>29</v>
      </c>
      <c r="L35" s="2" t="s">
        <v>21</v>
      </c>
      <c r="M35" s="2">
        <v>9377679317</v>
      </c>
      <c r="N35" t="str">
        <f t="shared" si="0"/>
        <v>Kavya Brown</v>
      </c>
      <c r="O35" s="8">
        <f t="shared" si="1"/>
        <v>84000</v>
      </c>
      <c r="P35">
        <f t="shared" ca="1" si="2"/>
        <v>8</v>
      </c>
      <c r="Q35" t="str">
        <f t="shared" si="3"/>
        <v>B</v>
      </c>
      <c r="R35" t="str">
        <f t="shared" ca="1" si="4"/>
        <v>6-8 yrs</v>
      </c>
      <c r="S35" t="str">
        <f>VLOOKUP(E35,Departments!$A$2:$D$6,3,FALSE)</f>
        <v>Anil Kumar</v>
      </c>
      <c r="T35">
        <f>VLOOKUP(E35,Departments!$A$2:$D$6,4,FALSE)</f>
        <v>15000000</v>
      </c>
      <c r="U35">
        <f t="shared" si="5"/>
        <v>2018</v>
      </c>
    </row>
    <row r="36" spans="1:21" x14ac:dyDescent="0.35">
      <c r="A36" s="2" t="s">
        <v>148</v>
      </c>
      <c r="B36" s="2" t="s">
        <v>100</v>
      </c>
      <c r="C36" s="2" t="s">
        <v>82</v>
      </c>
      <c r="D36" s="2" t="s">
        <v>16</v>
      </c>
      <c r="E36" s="2" t="s">
        <v>51</v>
      </c>
      <c r="F36" s="2" t="s">
        <v>117</v>
      </c>
      <c r="G36" s="3">
        <v>43148</v>
      </c>
      <c r="H36" s="4">
        <v>46000</v>
      </c>
      <c r="I36" s="4">
        <v>0</v>
      </c>
      <c r="J36" s="2" t="s">
        <v>19</v>
      </c>
      <c r="K36" s="2" t="s">
        <v>20</v>
      </c>
      <c r="L36" s="2" t="s">
        <v>21</v>
      </c>
      <c r="M36" s="2">
        <v>9388754324</v>
      </c>
      <c r="N36" t="str">
        <f t="shared" si="0"/>
        <v>Olivia Sharma</v>
      </c>
      <c r="O36" s="8">
        <f t="shared" si="1"/>
        <v>46000</v>
      </c>
      <c r="P36">
        <f t="shared" ca="1" si="2"/>
        <v>8</v>
      </c>
      <c r="Q36" t="str">
        <f t="shared" si="3"/>
        <v>C</v>
      </c>
      <c r="R36" t="str">
        <f t="shared" ca="1" si="4"/>
        <v>6-8 yrs</v>
      </c>
      <c r="S36" t="str">
        <f>VLOOKUP(E36,Departments!$A$2:$D$6,3,FALSE)</f>
        <v>David Miller</v>
      </c>
      <c r="T36">
        <f>VLOOKUP(E36,Departments!$A$2:$D$6,4,FALSE)</f>
        <v>7000000</v>
      </c>
      <c r="U36">
        <f t="shared" si="5"/>
        <v>2018</v>
      </c>
    </row>
    <row r="37" spans="1:21" x14ac:dyDescent="0.35">
      <c r="A37" s="2" t="s">
        <v>150</v>
      </c>
      <c r="B37" s="2" t="s">
        <v>136</v>
      </c>
      <c r="C37" s="2" t="s">
        <v>50</v>
      </c>
      <c r="D37" s="2" t="s">
        <v>16</v>
      </c>
      <c r="E37" s="2" t="s">
        <v>40</v>
      </c>
      <c r="F37" s="2" t="s">
        <v>133</v>
      </c>
      <c r="G37" s="3">
        <v>42915</v>
      </c>
      <c r="H37" s="4">
        <v>101000</v>
      </c>
      <c r="I37" s="4">
        <v>0</v>
      </c>
      <c r="J37" s="2" t="s">
        <v>28</v>
      </c>
      <c r="K37" s="2" t="s">
        <v>29</v>
      </c>
      <c r="L37" s="2" t="s">
        <v>21</v>
      </c>
      <c r="M37" s="2" t="s">
        <v>292</v>
      </c>
      <c r="N37" t="str">
        <f t="shared" si="0"/>
        <v>Sneha Davis</v>
      </c>
      <c r="O37" s="8">
        <f t="shared" si="1"/>
        <v>101000</v>
      </c>
      <c r="P37">
        <f t="shared" ca="1" si="2"/>
        <v>9</v>
      </c>
      <c r="Q37" t="str">
        <f t="shared" si="3"/>
        <v>A</v>
      </c>
      <c r="R37" t="str">
        <f t="shared" ca="1" si="4"/>
        <v>9+ yrs</v>
      </c>
      <c r="S37" t="str">
        <f>VLOOKUP(E37,Departments!$A$2:$D$6,3,FALSE)</f>
        <v>Suresh Menon</v>
      </c>
      <c r="T37">
        <f>VLOOKUP(E37,Departments!$A$2:$D$6,4,FALSE)</f>
        <v>8000000</v>
      </c>
      <c r="U37">
        <f t="shared" si="5"/>
        <v>2017</v>
      </c>
    </row>
    <row r="38" spans="1:21" x14ac:dyDescent="0.35">
      <c r="A38" s="2" t="s">
        <v>151</v>
      </c>
      <c r="B38" s="2" t="s">
        <v>152</v>
      </c>
      <c r="C38" s="2" t="s">
        <v>32</v>
      </c>
      <c r="D38" s="2" t="s">
        <v>39</v>
      </c>
      <c r="E38" s="2" t="s">
        <v>40</v>
      </c>
      <c r="F38" s="2" t="s">
        <v>41</v>
      </c>
      <c r="G38" s="3">
        <v>42981</v>
      </c>
      <c r="H38" s="4">
        <v>91500</v>
      </c>
      <c r="I38" s="4">
        <v>0</v>
      </c>
      <c r="J38" s="2" t="s">
        <v>62</v>
      </c>
      <c r="K38" s="2" t="s">
        <v>42</v>
      </c>
      <c r="L38" s="2" t="s">
        <v>21</v>
      </c>
      <c r="M38" s="2">
        <v>9434999291</v>
      </c>
      <c r="N38" t="str">
        <f t="shared" si="0"/>
        <v>Aarav Das</v>
      </c>
      <c r="O38" s="8">
        <f t="shared" si="1"/>
        <v>91500</v>
      </c>
      <c r="P38">
        <f t="shared" ca="1" si="2"/>
        <v>9</v>
      </c>
      <c r="Q38" t="str">
        <f t="shared" si="3"/>
        <v>B</v>
      </c>
      <c r="R38" t="str">
        <f t="shared" ca="1" si="4"/>
        <v>9+ yrs</v>
      </c>
      <c r="S38" t="str">
        <f>VLOOKUP(E38,Departments!$A$2:$D$6,3,FALSE)</f>
        <v>Suresh Menon</v>
      </c>
      <c r="T38">
        <f>VLOOKUP(E38,Departments!$A$2:$D$6,4,FALSE)</f>
        <v>8000000</v>
      </c>
      <c r="U38">
        <f t="shared" si="5"/>
        <v>2017</v>
      </c>
    </row>
    <row r="39" spans="1:21" x14ac:dyDescent="0.35">
      <c r="A39" s="2" t="s">
        <v>154</v>
      </c>
      <c r="B39" s="2" t="s">
        <v>112</v>
      </c>
      <c r="C39" s="2" t="s">
        <v>82</v>
      </c>
      <c r="D39" s="2" t="s">
        <v>16</v>
      </c>
      <c r="E39" s="2" t="s">
        <v>40</v>
      </c>
      <c r="F39" s="2" t="s">
        <v>41</v>
      </c>
      <c r="G39" s="3">
        <v>42733</v>
      </c>
      <c r="H39" s="4">
        <v>89000</v>
      </c>
      <c r="I39" s="4">
        <v>0</v>
      </c>
      <c r="J39" s="2" t="s">
        <v>28</v>
      </c>
      <c r="K39" s="2" t="s">
        <v>29</v>
      </c>
      <c r="L39" s="2" t="s">
        <v>21</v>
      </c>
      <c r="M39" s="2">
        <v>9116477768</v>
      </c>
      <c r="N39" t="str">
        <f t="shared" si="0"/>
        <v>Meera Sharma</v>
      </c>
      <c r="O39" s="8">
        <f t="shared" si="1"/>
        <v>89000</v>
      </c>
      <c r="P39">
        <f t="shared" ca="1" si="2"/>
        <v>9</v>
      </c>
      <c r="Q39" t="str">
        <f t="shared" si="3"/>
        <v>B</v>
      </c>
      <c r="R39" t="str">
        <f t="shared" ca="1" si="4"/>
        <v>9+ yrs</v>
      </c>
      <c r="S39" t="str">
        <f>VLOOKUP(E39,Departments!$A$2:$D$6,3,FALSE)</f>
        <v>Suresh Menon</v>
      </c>
      <c r="T39">
        <f>VLOOKUP(E39,Departments!$A$2:$D$6,4,FALSE)</f>
        <v>8000000</v>
      </c>
      <c r="U39">
        <f t="shared" si="5"/>
        <v>2016</v>
      </c>
    </row>
    <row r="40" spans="1:21" x14ac:dyDescent="0.35">
      <c r="A40" s="2" t="s">
        <v>156</v>
      </c>
      <c r="B40" s="2" t="s">
        <v>127</v>
      </c>
      <c r="C40" s="2" t="s">
        <v>146</v>
      </c>
      <c r="D40" s="2" t="s">
        <v>39</v>
      </c>
      <c r="E40" s="2" t="s">
        <v>17</v>
      </c>
      <c r="F40" s="2" t="s">
        <v>58</v>
      </c>
      <c r="G40" s="3">
        <v>43836</v>
      </c>
      <c r="H40" s="4">
        <v>51000</v>
      </c>
      <c r="I40" s="4">
        <v>0</v>
      </c>
      <c r="J40" s="2" t="s">
        <v>19</v>
      </c>
      <c r="K40" s="2" t="s">
        <v>53</v>
      </c>
      <c r="L40" s="2" t="s">
        <v>21</v>
      </c>
      <c r="M40" s="2">
        <v>9686162372</v>
      </c>
      <c r="N40" t="str">
        <f t="shared" si="0"/>
        <v>Sanjay Brown</v>
      </c>
      <c r="O40" s="8">
        <f t="shared" si="1"/>
        <v>51000</v>
      </c>
      <c r="P40">
        <f t="shared" ca="1" si="2"/>
        <v>6</v>
      </c>
      <c r="Q40" t="str">
        <f t="shared" si="3"/>
        <v>C</v>
      </c>
      <c r="R40" t="str">
        <f t="shared" ca="1" si="4"/>
        <v>6-8 yrs</v>
      </c>
      <c r="S40" t="str">
        <f>VLOOKUP(E40,Departments!$A$2:$D$6,3,FALSE)</f>
        <v>Rekha Iyer</v>
      </c>
      <c r="T40">
        <f>VLOOKUP(E40,Departments!$A$2:$D$6,4,FALSE)</f>
        <v>5000000</v>
      </c>
      <c r="U40">
        <f t="shared" si="5"/>
        <v>2020</v>
      </c>
    </row>
    <row r="41" spans="1:21" x14ac:dyDescent="0.35">
      <c r="A41" s="2" t="s">
        <v>158</v>
      </c>
      <c r="B41" s="2" t="s">
        <v>105</v>
      </c>
      <c r="C41" s="2" t="s">
        <v>113</v>
      </c>
      <c r="D41" s="2" t="s">
        <v>39</v>
      </c>
      <c r="E41" s="2" t="s">
        <v>51</v>
      </c>
      <c r="F41" s="2" t="s">
        <v>52</v>
      </c>
      <c r="G41" s="3">
        <v>45414</v>
      </c>
      <c r="H41" s="4">
        <v>53000</v>
      </c>
      <c r="I41" s="4">
        <v>0</v>
      </c>
      <c r="J41" s="2" t="s">
        <v>28</v>
      </c>
      <c r="K41" s="2" t="s">
        <v>20</v>
      </c>
      <c r="L41" s="2" t="s">
        <v>21</v>
      </c>
      <c r="M41" s="2" t="s">
        <v>292</v>
      </c>
      <c r="N41" t="str">
        <f t="shared" si="0"/>
        <v>Rohan Reddy</v>
      </c>
      <c r="O41" s="8">
        <f t="shared" si="1"/>
        <v>53000</v>
      </c>
      <c r="P41">
        <f t="shared" ca="1" si="2"/>
        <v>2</v>
      </c>
      <c r="Q41" t="str">
        <f t="shared" si="3"/>
        <v>C</v>
      </c>
      <c r="R41" t="str">
        <f t="shared" ca="1" si="4"/>
        <v>0-2 yrs</v>
      </c>
      <c r="S41" t="str">
        <f>VLOOKUP(E41,Departments!$A$2:$D$6,3,FALSE)</f>
        <v>David Miller</v>
      </c>
      <c r="T41">
        <f>VLOOKUP(E41,Departments!$A$2:$D$6,4,FALSE)</f>
        <v>7000000</v>
      </c>
      <c r="U41">
        <f t="shared" si="5"/>
        <v>2024</v>
      </c>
    </row>
    <row r="42" spans="1:21" x14ac:dyDescent="0.35">
      <c r="A42" s="2" t="s">
        <v>159</v>
      </c>
      <c r="B42" s="2" t="s">
        <v>24</v>
      </c>
      <c r="C42" s="2" t="s">
        <v>32</v>
      </c>
      <c r="D42" s="2" t="s">
        <v>16</v>
      </c>
      <c r="E42" s="2" t="s">
        <v>33</v>
      </c>
      <c r="F42" s="2" t="s">
        <v>160</v>
      </c>
      <c r="G42" s="3">
        <v>42351</v>
      </c>
      <c r="H42" s="4">
        <v>43500</v>
      </c>
      <c r="I42" s="4">
        <v>2200</v>
      </c>
      <c r="J42" s="2" t="s">
        <v>19</v>
      </c>
      <c r="K42" s="2" t="s">
        <v>97</v>
      </c>
      <c r="L42" s="2" t="s">
        <v>21</v>
      </c>
      <c r="M42" s="2">
        <v>9360074153</v>
      </c>
      <c r="N42" t="str">
        <f t="shared" si="0"/>
        <v>Divya Das</v>
      </c>
      <c r="O42" s="8">
        <f t="shared" si="1"/>
        <v>45700</v>
      </c>
      <c r="P42">
        <f t="shared" ca="1" si="2"/>
        <v>10</v>
      </c>
      <c r="Q42" t="str">
        <f t="shared" si="3"/>
        <v>C</v>
      </c>
      <c r="R42" t="str">
        <f t="shared" ca="1" si="4"/>
        <v>9+ yrs</v>
      </c>
      <c r="S42" t="str">
        <f>VLOOKUP(E42,Departments!$A$2:$D$6,3,FALSE)</f>
        <v>Sunita Rao</v>
      </c>
      <c r="T42">
        <f>VLOOKUP(E42,Departments!$A$2:$D$6,4,FALSE)</f>
        <v>9000000</v>
      </c>
      <c r="U42">
        <f t="shared" si="5"/>
        <v>2015</v>
      </c>
    </row>
    <row r="43" spans="1:21" x14ac:dyDescent="0.35">
      <c r="A43" s="2" t="s">
        <v>162</v>
      </c>
      <c r="B43" s="2" t="s">
        <v>76</v>
      </c>
      <c r="C43" s="2" t="s">
        <v>25</v>
      </c>
      <c r="D43" s="2" t="s">
        <v>39</v>
      </c>
      <c r="E43" s="2" t="s">
        <v>51</v>
      </c>
      <c r="F43" s="2" t="s">
        <v>52</v>
      </c>
      <c r="G43" s="3">
        <v>42019</v>
      </c>
      <c r="H43" s="4">
        <v>69000</v>
      </c>
      <c r="I43" s="4">
        <v>0</v>
      </c>
      <c r="J43" s="2" t="s">
        <v>28</v>
      </c>
      <c r="K43" s="2" t="s">
        <v>53</v>
      </c>
      <c r="L43" s="2" t="s">
        <v>21</v>
      </c>
      <c r="M43" s="2">
        <v>9447391878</v>
      </c>
      <c r="N43" t="str">
        <f t="shared" si="0"/>
        <v>Vikram Mehta</v>
      </c>
      <c r="O43" s="8">
        <f t="shared" si="1"/>
        <v>69000</v>
      </c>
      <c r="P43">
        <f t="shared" ca="1" si="2"/>
        <v>11</v>
      </c>
      <c r="Q43" t="str">
        <f t="shared" si="3"/>
        <v>B</v>
      </c>
      <c r="R43" t="str">
        <f t="shared" ca="1" si="4"/>
        <v>9+ yrs</v>
      </c>
      <c r="S43" t="str">
        <f>VLOOKUP(E43,Departments!$A$2:$D$6,3,FALSE)</f>
        <v>David Miller</v>
      </c>
      <c r="T43">
        <f>VLOOKUP(E43,Departments!$A$2:$D$6,4,FALSE)</f>
        <v>7000000</v>
      </c>
      <c r="U43">
        <f t="shared" si="5"/>
        <v>2015</v>
      </c>
    </row>
    <row r="44" spans="1:21" x14ac:dyDescent="0.35">
      <c r="A44" s="2" t="s">
        <v>164</v>
      </c>
      <c r="B44" s="2" t="s">
        <v>81</v>
      </c>
      <c r="C44" s="2" t="s">
        <v>82</v>
      </c>
      <c r="D44" s="2" t="s">
        <v>39</v>
      </c>
      <c r="E44" s="2" t="s">
        <v>33</v>
      </c>
      <c r="F44" s="2" t="s">
        <v>160</v>
      </c>
      <c r="G44" s="3">
        <v>43378</v>
      </c>
      <c r="H44" s="4">
        <v>40000</v>
      </c>
      <c r="I44" s="4">
        <v>2000</v>
      </c>
      <c r="J44" s="2" t="s">
        <v>69</v>
      </c>
      <c r="K44" s="2" t="s">
        <v>53</v>
      </c>
      <c r="L44" s="2" t="s">
        <v>21</v>
      </c>
      <c r="M44" s="2">
        <v>9366480598</v>
      </c>
      <c r="N44" t="str">
        <f t="shared" si="0"/>
        <v>Imran Sharma</v>
      </c>
      <c r="O44" s="8">
        <f t="shared" si="1"/>
        <v>42000</v>
      </c>
      <c r="P44">
        <f t="shared" ca="1" si="2"/>
        <v>8</v>
      </c>
      <c r="Q44" t="str">
        <f t="shared" si="3"/>
        <v>C</v>
      </c>
      <c r="R44" t="str">
        <f t="shared" ca="1" si="4"/>
        <v>6-8 yrs</v>
      </c>
      <c r="S44" t="str">
        <f>VLOOKUP(E44,Departments!$A$2:$D$6,3,FALSE)</f>
        <v>Sunita Rao</v>
      </c>
      <c r="T44">
        <f>VLOOKUP(E44,Departments!$A$2:$D$6,4,FALSE)</f>
        <v>9000000</v>
      </c>
      <c r="U44">
        <f t="shared" si="5"/>
        <v>2018</v>
      </c>
    </row>
    <row r="45" spans="1:21" x14ac:dyDescent="0.35">
      <c r="A45" s="2" t="s">
        <v>166</v>
      </c>
      <c r="B45" s="2" t="s">
        <v>76</v>
      </c>
      <c r="C45" s="2" t="s">
        <v>113</v>
      </c>
      <c r="D45" s="2" t="s">
        <v>39</v>
      </c>
      <c r="E45" s="2" t="s">
        <v>17</v>
      </c>
      <c r="F45" s="2" t="s">
        <v>58</v>
      </c>
      <c r="G45" s="3">
        <v>42175</v>
      </c>
      <c r="H45" s="4">
        <v>73500</v>
      </c>
      <c r="I45" s="4">
        <v>3700</v>
      </c>
      <c r="J45" s="2" t="s">
        <v>69</v>
      </c>
      <c r="K45" s="2" t="s">
        <v>35</v>
      </c>
      <c r="L45" s="2" t="s">
        <v>21</v>
      </c>
      <c r="M45" s="2">
        <v>9728765263</v>
      </c>
      <c r="N45" t="str">
        <f t="shared" si="0"/>
        <v>Vikram Reddy</v>
      </c>
      <c r="O45" s="8">
        <f t="shared" si="1"/>
        <v>77200</v>
      </c>
      <c r="P45">
        <f t="shared" ca="1" si="2"/>
        <v>11</v>
      </c>
      <c r="Q45" t="str">
        <f t="shared" si="3"/>
        <v>B</v>
      </c>
      <c r="R45" t="str">
        <f t="shared" ca="1" si="4"/>
        <v>9+ yrs</v>
      </c>
      <c r="S45" t="str">
        <f>VLOOKUP(E45,Departments!$A$2:$D$6,3,FALSE)</f>
        <v>Rekha Iyer</v>
      </c>
      <c r="T45">
        <f>VLOOKUP(E45,Departments!$A$2:$D$6,4,FALSE)</f>
        <v>5000000</v>
      </c>
      <c r="U45">
        <f t="shared" si="5"/>
        <v>2015</v>
      </c>
    </row>
    <row r="46" spans="1:21" x14ac:dyDescent="0.35">
      <c r="A46" s="2" t="s">
        <v>168</v>
      </c>
      <c r="B46" s="2" t="s">
        <v>109</v>
      </c>
      <c r="C46" s="2" t="s">
        <v>50</v>
      </c>
      <c r="D46" s="2" t="s">
        <v>16</v>
      </c>
      <c r="E46" s="2" t="s">
        <v>51</v>
      </c>
      <c r="F46" s="2" t="s">
        <v>117</v>
      </c>
      <c r="G46" s="3">
        <v>44029</v>
      </c>
      <c r="H46" s="4">
        <v>87000</v>
      </c>
      <c r="I46" s="4">
        <v>0</v>
      </c>
      <c r="J46" s="2" t="s">
        <v>28</v>
      </c>
      <c r="K46" s="2" t="s">
        <v>35</v>
      </c>
      <c r="L46" s="2" t="s">
        <v>21</v>
      </c>
      <c r="M46" s="2" t="s">
        <v>292</v>
      </c>
      <c r="N46" t="str">
        <f t="shared" si="0"/>
        <v>Sophia Davis</v>
      </c>
      <c r="O46" s="8">
        <f t="shared" si="1"/>
        <v>87000</v>
      </c>
      <c r="P46">
        <f t="shared" ca="1" si="2"/>
        <v>6</v>
      </c>
      <c r="Q46" t="str">
        <f t="shared" si="3"/>
        <v>B</v>
      </c>
      <c r="R46" t="str">
        <f t="shared" ca="1" si="4"/>
        <v>6-8 yrs</v>
      </c>
      <c r="S46" t="str">
        <f>VLOOKUP(E46,Departments!$A$2:$D$6,3,FALSE)</f>
        <v>David Miller</v>
      </c>
      <c r="T46">
        <f>VLOOKUP(E46,Departments!$A$2:$D$6,4,FALSE)</f>
        <v>7000000</v>
      </c>
      <c r="U46">
        <f t="shared" si="5"/>
        <v>2020</v>
      </c>
    </row>
    <row r="47" spans="1:21" x14ac:dyDescent="0.35">
      <c r="A47" s="2" t="s">
        <v>169</v>
      </c>
      <c r="B47" s="2" t="s">
        <v>56</v>
      </c>
      <c r="C47" s="2" t="s">
        <v>25</v>
      </c>
      <c r="D47" s="2" t="s">
        <v>39</v>
      </c>
      <c r="E47" s="2" t="s">
        <v>40</v>
      </c>
      <c r="F47" s="2" t="s">
        <v>83</v>
      </c>
      <c r="G47" s="3">
        <v>44070</v>
      </c>
      <c r="H47" s="4">
        <v>94500</v>
      </c>
      <c r="I47" s="4">
        <v>9400</v>
      </c>
      <c r="J47" s="2" t="s">
        <v>19</v>
      </c>
      <c r="K47" s="2" t="s">
        <v>20</v>
      </c>
      <c r="L47" s="2" t="s">
        <v>21</v>
      </c>
      <c r="M47" s="2">
        <v>9727131272</v>
      </c>
      <c r="N47" t="str">
        <f t="shared" si="0"/>
        <v>Lucas Mehta</v>
      </c>
      <c r="O47" s="8">
        <f t="shared" si="1"/>
        <v>103900</v>
      </c>
      <c r="P47">
        <f t="shared" ca="1" si="2"/>
        <v>6</v>
      </c>
      <c r="Q47" t="str">
        <f t="shared" si="3"/>
        <v>B</v>
      </c>
      <c r="R47" t="str">
        <f t="shared" ca="1" si="4"/>
        <v>6-8 yrs</v>
      </c>
      <c r="S47" t="str">
        <f>VLOOKUP(E47,Departments!$A$2:$D$6,3,FALSE)</f>
        <v>Suresh Menon</v>
      </c>
      <c r="T47">
        <f>VLOOKUP(E47,Departments!$A$2:$D$6,4,FALSE)</f>
        <v>8000000</v>
      </c>
      <c r="U47">
        <f t="shared" si="5"/>
        <v>2020</v>
      </c>
    </row>
    <row r="48" spans="1:21" x14ac:dyDescent="0.35">
      <c r="A48" s="2" t="s">
        <v>171</v>
      </c>
      <c r="B48" s="2" t="s">
        <v>76</v>
      </c>
      <c r="C48" s="2" t="s">
        <v>25</v>
      </c>
      <c r="D48" s="2" t="s">
        <v>39</v>
      </c>
      <c r="E48" s="2" t="s">
        <v>51</v>
      </c>
      <c r="F48" s="2" t="s">
        <v>87</v>
      </c>
      <c r="G48" s="3">
        <v>43547</v>
      </c>
      <c r="H48" s="4">
        <v>47000</v>
      </c>
      <c r="I48" s="4">
        <v>2400</v>
      </c>
      <c r="J48" s="2" t="s">
        <v>28</v>
      </c>
      <c r="K48" s="2" t="s">
        <v>53</v>
      </c>
      <c r="L48" s="2" t="s">
        <v>21</v>
      </c>
      <c r="M48" s="2">
        <v>9830857592</v>
      </c>
      <c r="N48" t="str">
        <f t="shared" si="0"/>
        <v>Vikram Mehta</v>
      </c>
      <c r="O48" s="8">
        <f t="shared" si="1"/>
        <v>49400</v>
      </c>
      <c r="P48">
        <f t="shared" ca="1" si="2"/>
        <v>7</v>
      </c>
      <c r="Q48" t="str">
        <f t="shared" si="3"/>
        <v>C</v>
      </c>
      <c r="R48" t="str">
        <f t="shared" ca="1" si="4"/>
        <v>6-8 yrs</v>
      </c>
      <c r="S48" t="str">
        <f>VLOOKUP(E48,Departments!$A$2:$D$6,3,FALSE)</f>
        <v>David Miller</v>
      </c>
      <c r="T48">
        <f>VLOOKUP(E48,Departments!$A$2:$D$6,4,FALSE)</f>
        <v>7000000</v>
      </c>
      <c r="U48">
        <f t="shared" si="5"/>
        <v>2019</v>
      </c>
    </row>
    <row r="49" spans="1:21" x14ac:dyDescent="0.35">
      <c r="A49" s="2" t="s">
        <v>173</v>
      </c>
      <c r="B49" s="2" t="s">
        <v>174</v>
      </c>
      <c r="C49" s="2" t="s">
        <v>175</v>
      </c>
      <c r="D49" s="2" t="s">
        <v>39</v>
      </c>
      <c r="E49" s="2" t="s">
        <v>26</v>
      </c>
      <c r="F49" s="2" t="s">
        <v>102</v>
      </c>
      <c r="G49" s="3">
        <v>44197</v>
      </c>
      <c r="H49" s="4">
        <v>126000</v>
      </c>
      <c r="I49" s="4">
        <v>0</v>
      </c>
      <c r="J49" s="2" t="s">
        <v>19</v>
      </c>
      <c r="K49" s="2" t="s">
        <v>42</v>
      </c>
      <c r="L49" s="2" t="s">
        <v>21</v>
      </c>
      <c r="M49" s="2">
        <v>9370790737</v>
      </c>
      <c r="N49" t="str">
        <f t="shared" si="0"/>
        <v>Amit Singh</v>
      </c>
      <c r="O49" s="8">
        <f t="shared" si="1"/>
        <v>126000</v>
      </c>
      <c r="P49">
        <f t="shared" ca="1" si="2"/>
        <v>5</v>
      </c>
      <c r="Q49" t="str">
        <f t="shared" si="3"/>
        <v>A</v>
      </c>
      <c r="R49" t="str">
        <f t="shared" ca="1" si="4"/>
        <v>3-5 yrs</v>
      </c>
      <c r="S49" t="str">
        <f>VLOOKUP(E49,Departments!$A$2:$D$6,3,FALSE)</f>
        <v>Anil Kumar</v>
      </c>
      <c r="T49">
        <f>VLOOKUP(E49,Departments!$A$2:$D$6,4,FALSE)</f>
        <v>15000000</v>
      </c>
      <c r="U49">
        <f t="shared" si="5"/>
        <v>2021</v>
      </c>
    </row>
    <row r="50" spans="1:21" x14ac:dyDescent="0.35">
      <c r="A50" s="2" t="s">
        <v>177</v>
      </c>
      <c r="B50" s="2" t="s">
        <v>105</v>
      </c>
      <c r="C50" s="2" t="s">
        <v>15</v>
      </c>
      <c r="D50" s="2" t="s">
        <v>39</v>
      </c>
      <c r="E50" s="2" t="s">
        <v>17</v>
      </c>
      <c r="F50" s="2" t="s">
        <v>18</v>
      </c>
      <c r="G50" s="3">
        <v>45468</v>
      </c>
      <c r="H50" s="4">
        <v>67500</v>
      </c>
      <c r="I50" s="4">
        <v>3400</v>
      </c>
      <c r="J50" s="2" t="s">
        <v>69</v>
      </c>
      <c r="K50" s="2" t="s">
        <v>29</v>
      </c>
      <c r="L50" s="2" t="s">
        <v>46</v>
      </c>
      <c r="M50" s="2">
        <v>9150194735</v>
      </c>
      <c r="N50" t="str">
        <f t="shared" si="0"/>
        <v>Rohan Khan</v>
      </c>
      <c r="O50" s="8">
        <f t="shared" si="1"/>
        <v>70900</v>
      </c>
      <c r="P50">
        <f t="shared" ca="1" si="2"/>
        <v>2</v>
      </c>
      <c r="Q50" t="str">
        <f t="shared" si="3"/>
        <v>B</v>
      </c>
      <c r="R50" t="str">
        <f t="shared" ca="1" si="4"/>
        <v>0-2 yrs</v>
      </c>
      <c r="S50" t="str">
        <f>VLOOKUP(E50,Departments!$A$2:$D$6,3,FALSE)</f>
        <v>Rekha Iyer</v>
      </c>
      <c r="T50">
        <f>VLOOKUP(E50,Departments!$A$2:$D$6,4,FALSE)</f>
        <v>5000000</v>
      </c>
      <c r="U50">
        <f t="shared" si="5"/>
        <v>2024</v>
      </c>
    </row>
    <row r="51" spans="1:21" x14ac:dyDescent="0.35">
      <c r="A51" s="2" t="s">
        <v>179</v>
      </c>
      <c r="B51" s="2" t="s">
        <v>81</v>
      </c>
      <c r="C51" s="2" t="s">
        <v>180</v>
      </c>
      <c r="D51" s="2" t="s">
        <v>39</v>
      </c>
      <c r="E51" s="2" t="s">
        <v>51</v>
      </c>
      <c r="F51" s="2" t="s">
        <v>117</v>
      </c>
      <c r="G51" s="3">
        <v>45049</v>
      </c>
      <c r="H51" s="4">
        <v>82500</v>
      </c>
      <c r="I51" s="4">
        <v>0</v>
      </c>
      <c r="J51" s="2" t="s">
        <v>19</v>
      </c>
      <c r="K51" s="2" t="s">
        <v>20</v>
      </c>
      <c r="L51" s="2" t="s">
        <v>21</v>
      </c>
      <c r="M51" s="2">
        <v>9621621687</v>
      </c>
      <c r="N51" t="str">
        <f t="shared" si="0"/>
        <v>Imran Joshi</v>
      </c>
      <c r="O51" s="8">
        <f t="shared" si="1"/>
        <v>82500</v>
      </c>
      <c r="P51">
        <f t="shared" ca="1" si="2"/>
        <v>3</v>
      </c>
      <c r="Q51" t="str">
        <f t="shared" si="3"/>
        <v>B</v>
      </c>
      <c r="R51" t="str">
        <f t="shared" ca="1" si="4"/>
        <v>3-5 yrs</v>
      </c>
      <c r="S51" t="str">
        <f>VLOOKUP(E51,Departments!$A$2:$D$6,3,FALSE)</f>
        <v>David Miller</v>
      </c>
      <c r="T51">
        <f>VLOOKUP(E51,Departments!$A$2:$D$6,4,FALSE)</f>
        <v>7000000</v>
      </c>
      <c r="U51">
        <f t="shared" si="5"/>
        <v>2023</v>
      </c>
    </row>
    <row r="52" spans="1:21" x14ac:dyDescent="0.35">
      <c r="A52" s="2" t="s">
        <v>182</v>
      </c>
      <c r="B52" s="2" t="s">
        <v>183</v>
      </c>
      <c r="C52" s="2" t="s">
        <v>15</v>
      </c>
      <c r="D52" s="2" t="s">
        <v>39</v>
      </c>
      <c r="E52" s="2" t="s">
        <v>17</v>
      </c>
      <c r="F52" s="2" t="s">
        <v>73</v>
      </c>
      <c r="G52" s="3">
        <v>44908</v>
      </c>
      <c r="H52" s="4">
        <v>54000</v>
      </c>
      <c r="I52" s="4">
        <v>5400</v>
      </c>
      <c r="J52" s="2" t="s">
        <v>28</v>
      </c>
      <c r="K52" s="2" t="s">
        <v>20</v>
      </c>
      <c r="L52" s="2" t="s">
        <v>21</v>
      </c>
      <c r="M52" s="2">
        <v>9689566415</v>
      </c>
      <c r="N52" t="str">
        <f t="shared" si="0"/>
        <v>John Khan</v>
      </c>
      <c r="O52" s="8">
        <f t="shared" si="1"/>
        <v>59400</v>
      </c>
      <c r="P52">
        <f t="shared" ca="1" si="2"/>
        <v>3</v>
      </c>
      <c r="Q52" t="str">
        <f t="shared" si="3"/>
        <v>C</v>
      </c>
      <c r="R52" t="str">
        <f t="shared" ca="1" si="4"/>
        <v>3-5 yrs</v>
      </c>
      <c r="S52" t="str">
        <f>VLOOKUP(E52,Departments!$A$2:$D$6,3,FALSE)</f>
        <v>Rekha Iyer</v>
      </c>
      <c r="T52">
        <f>VLOOKUP(E52,Departments!$A$2:$D$6,4,FALSE)</f>
        <v>5000000</v>
      </c>
      <c r="U52">
        <f t="shared" si="5"/>
        <v>2022</v>
      </c>
    </row>
    <row r="53" spans="1:21" x14ac:dyDescent="0.35">
      <c r="A53" s="2" t="s">
        <v>185</v>
      </c>
      <c r="B53" s="2" t="s">
        <v>31</v>
      </c>
      <c r="C53" s="2" t="s">
        <v>15</v>
      </c>
      <c r="D53" s="2" t="s">
        <v>16</v>
      </c>
      <c r="E53" s="2" t="s">
        <v>51</v>
      </c>
      <c r="F53" s="2" t="s">
        <v>52</v>
      </c>
      <c r="G53" s="3">
        <v>42318</v>
      </c>
      <c r="H53" s="4">
        <v>70000</v>
      </c>
      <c r="I53" s="4">
        <v>7000</v>
      </c>
      <c r="J53" s="2" t="s">
        <v>62</v>
      </c>
      <c r="K53" s="2" t="s">
        <v>29</v>
      </c>
      <c r="L53" s="2" t="s">
        <v>21</v>
      </c>
      <c r="M53" s="2">
        <v>9325310994</v>
      </c>
      <c r="N53" t="str">
        <f t="shared" si="0"/>
        <v>Priya Khan</v>
      </c>
      <c r="O53" s="8">
        <f t="shared" si="1"/>
        <v>77000</v>
      </c>
      <c r="P53">
        <f t="shared" ca="1" si="2"/>
        <v>10</v>
      </c>
      <c r="Q53" t="str">
        <f t="shared" si="3"/>
        <v>B</v>
      </c>
      <c r="R53" t="str">
        <f t="shared" ca="1" si="4"/>
        <v>9+ yrs</v>
      </c>
      <c r="S53" t="str">
        <f>VLOOKUP(E53,Departments!$A$2:$D$6,3,FALSE)</f>
        <v>David Miller</v>
      </c>
      <c r="T53">
        <f>VLOOKUP(E53,Departments!$A$2:$D$6,4,FALSE)</f>
        <v>7000000</v>
      </c>
      <c r="U53">
        <f t="shared" si="5"/>
        <v>2015</v>
      </c>
    </row>
    <row r="54" spans="1:21" x14ac:dyDescent="0.35">
      <c r="A54" s="2" t="s">
        <v>187</v>
      </c>
      <c r="B54" s="2" t="s">
        <v>76</v>
      </c>
      <c r="C54" s="2" t="s">
        <v>90</v>
      </c>
      <c r="D54" s="2" t="s">
        <v>39</v>
      </c>
      <c r="E54" s="2" t="s">
        <v>40</v>
      </c>
      <c r="F54" s="2" t="s">
        <v>83</v>
      </c>
      <c r="G54" s="3">
        <v>43477</v>
      </c>
      <c r="H54" s="4">
        <v>62000</v>
      </c>
      <c r="I54" s="4">
        <v>0</v>
      </c>
      <c r="J54" s="2" t="s">
        <v>19</v>
      </c>
      <c r="K54" s="2" t="s">
        <v>97</v>
      </c>
      <c r="L54" s="2" t="s">
        <v>21</v>
      </c>
      <c r="M54" s="2">
        <v>9220986608</v>
      </c>
      <c r="N54" t="str">
        <f t="shared" si="0"/>
        <v>Vikram Johnson</v>
      </c>
      <c r="O54" s="8">
        <f t="shared" si="1"/>
        <v>62000</v>
      </c>
      <c r="P54">
        <f t="shared" ca="1" si="2"/>
        <v>7</v>
      </c>
      <c r="Q54" t="str">
        <f t="shared" si="3"/>
        <v>B</v>
      </c>
      <c r="R54" t="str">
        <f t="shared" ca="1" si="4"/>
        <v>6-8 yrs</v>
      </c>
      <c r="S54" t="str">
        <f>VLOOKUP(E54,Departments!$A$2:$D$6,3,FALSE)</f>
        <v>Suresh Menon</v>
      </c>
      <c r="T54">
        <f>VLOOKUP(E54,Departments!$A$2:$D$6,4,FALSE)</f>
        <v>8000000</v>
      </c>
      <c r="U54">
        <f t="shared" si="5"/>
        <v>2019</v>
      </c>
    </row>
    <row r="55" spans="1:21" x14ac:dyDescent="0.35">
      <c r="A55" s="2" t="s">
        <v>189</v>
      </c>
      <c r="B55" s="2" t="s">
        <v>24</v>
      </c>
      <c r="C55" s="2" t="s">
        <v>90</v>
      </c>
      <c r="D55" s="2" t="s">
        <v>16</v>
      </c>
      <c r="E55" s="2" t="s">
        <v>26</v>
      </c>
      <c r="F55" s="2" t="s">
        <v>106</v>
      </c>
      <c r="G55" s="3">
        <v>42019</v>
      </c>
      <c r="H55" s="4">
        <v>81000</v>
      </c>
      <c r="I55" s="4">
        <v>4000</v>
      </c>
      <c r="J55" s="2" t="s">
        <v>19</v>
      </c>
      <c r="K55" s="2" t="s">
        <v>53</v>
      </c>
      <c r="L55" s="2" t="s">
        <v>21</v>
      </c>
      <c r="M55" s="2">
        <v>9546871154</v>
      </c>
      <c r="N55" t="str">
        <f t="shared" si="0"/>
        <v>Divya Johnson</v>
      </c>
      <c r="O55" s="8">
        <f t="shared" si="1"/>
        <v>85000</v>
      </c>
      <c r="P55">
        <f t="shared" ca="1" si="2"/>
        <v>11</v>
      </c>
      <c r="Q55" t="str">
        <f t="shared" si="3"/>
        <v>B</v>
      </c>
      <c r="R55" t="str">
        <f t="shared" ca="1" si="4"/>
        <v>9+ yrs</v>
      </c>
      <c r="S55" t="str">
        <f>VLOOKUP(E55,Departments!$A$2:$D$6,3,FALSE)</f>
        <v>Anil Kumar</v>
      </c>
      <c r="T55">
        <f>VLOOKUP(E55,Departments!$A$2:$D$6,4,FALSE)</f>
        <v>15000000</v>
      </c>
      <c r="U55">
        <f t="shared" si="5"/>
        <v>2015</v>
      </c>
    </row>
    <row r="56" spans="1:21" x14ac:dyDescent="0.35">
      <c r="A56" s="2" t="s">
        <v>191</v>
      </c>
      <c r="B56" s="2" t="s">
        <v>192</v>
      </c>
      <c r="C56" s="2" t="s">
        <v>82</v>
      </c>
      <c r="D56" s="2" t="s">
        <v>39</v>
      </c>
      <c r="E56" s="2" t="s">
        <v>51</v>
      </c>
      <c r="F56" s="2" t="s">
        <v>117</v>
      </c>
      <c r="G56" s="3">
        <v>43334</v>
      </c>
      <c r="H56" s="4">
        <v>40000</v>
      </c>
      <c r="I56" s="4">
        <v>0</v>
      </c>
      <c r="J56" s="2" t="s">
        <v>19</v>
      </c>
      <c r="K56" s="2" t="s">
        <v>53</v>
      </c>
      <c r="L56" s="2" t="s">
        <v>21</v>
      </c>
      <c r="M56" s="2">
        <v>9865603224</v>
      </c>
      <c r="N56" t="str">
        <f t="shared" si="0"/>
        <v>Mason Sharma</v>
      </c>
      <c r="O56" s="8">
        <f t="shared" si="1"/>
        <v>40000</v>
      </c>
      <c r="P56">
        <f t="shared" ca="1" si="2"/>
        <v>8</v>
      </c>
      <c r="Q56" t="str">
        <f t="shared" si="3"/>
        <v>C</v>
      </c>
      <c r="R56" t="str">
        <f t="shared" ca="1" si="4"/>
        <v>6-8 yrs</v>
      </c>
      <c r="S56" t="str">
        <f>VLOOKUP(E56,Departments!$A$2:$D$6,3,FALSE)</f>
        <v>David Miller</v>
      </c>
      <c r="T56">
        <f>VLOOKUP(E56,Departments!$A$2:$D$6,4,FALSE)</f>
        <v>7000000</v>
      </c>
      <c r="U56">
        <f t="shared" si="5"/>
        <v>2018</v>
      </c>
    </row>
    <row r="57" spans="1:21" x14ac:dyDescent="0.35">
      <c r="A57" s="2" t="s">
        <v>194</v>
      </c>
      <c r="B57" s="2" t="s">
        <v>72</v>
      </c>
      <c r="C57" s="2" t="s">
        <v>180</v>
      </c>
      <c r="D57" s="2" t="s">
        <v>16</v>
      </c>
      <c r="E57" s="2" t="s">
        <v>26</v>
      </c>
      <c r="F57" s="2" t="s">
        <v>27</v>
      </c>
      <c r="G57" s="3">
        <v>43603</v>
      </c>
      <c r="H57" s="4">
        <v>111500</v>
      </c>
      <c r="I57" s="4">
        <v>11200</v>
      </c>
      <c r="J57" s="2" t="s">
        <v>69</v>
      </c>
      <c r="K57" s="2" t="s">
        <v>20</v>
      </c>
      <c r="L57" s="2" t="s">
        <v>46</v>
      </c>
      <c r="M57" s="2">
        <v>9151827478</v>
      </c>
      <c r="N57" t="str">
        <f t="shared" si="0"/>
        <v>Pooja Joshi</v>
      </c>
      <c r="O57" s="8">
        <f t="shared" si="1"/>
        <v>122700</v>
      </c>
      <c r="P57">
        <f t="shared" ca="1" si="2"/>
        <v>7</v>
      </c>
      <c r="Q57" t="str">
        <f t="shared" si="3"/>
        <v>A</v>
      </c>
      <c r="R57" t="str">
        <f t="shared" ca="1" si="4"/>
        <v>6-8 yrs</v>
      </c>
      <c r="S57" t="str">
        <f>VLOOKUP(E57,Departments!$A$2:$D$6,3,FALSE)</f>
        <v>Anil Kumar</v>
      </c>
      <c r="T57">
        <f>VLOOKUP(E57,Departments!$A$2:$D$6,4,FALSE)</f>
        <v>15000000</v>
      </c>
      <c r="U57">
        <f t="shared" si="5"/>
        <v>2019</v>
      </c>
    </row>
    <row r="58" spans="1:21" x14ac:dyDescent="0.35">
      <c r="A58" s="2" t="s">
        <v>196</v>
      </c>
      <c r="B58" s="2" t="s">
        <v>44</v>
      </c>
      <c r="C58" s="2" t="s">
        <v>82</v>
      </c>
      <c r="D58" s="2" t="s">
        <v>16</v>
      </c>
      <c r="E58" s="2" t="s">
        <v>33</v>
      </c>
      <c r="F58" s="2" t="s">
        <v>34</v>
      </c>
      <c r="G58" s="3">
        <v>43093</v>
      </c>
      <c r="H58" s="4">
        <v>56500</v>
      </c>
      <c r="I58" s="4">
        <v>2800</v>
      </c>
      <c r="J58" s="2" t="s">
        <v>28</v>
      </c>
      <c r="K58" s="2" t="s">
        <v>97</v>
      </c>
      <c r="L58" s="2" t="s">
        <v>21</v>
      </c>
      <c r="M58" s="2">
        <v>9559290527</v>
      </c>
      <c r="N58" t="str">
        <f t="shared" si="0"/>
        <v>Emma Sharma</v>
      </c>
      <c r="O58" s="8">
        <f t="shared" si="1"/>
        <v>59300</v>
      </c>
      <c r="P58">
        <f t="shared" ca="1" si="2"/>
        <v>8</v>
      </c>
      <c r="Q58" t="str">
        <f t="shared" si="3"/>
        <v>C</v>
      </c>
      <c r="R58" t="str">
        <f t="shared" ca="1" si="4"/>
        <v>6-8 yrs</v>
      </c>
      <c r="S58" t="str">
        <f>VLOOKUP(E58,Departments!$A$2:$D$6,3,FALSE)</f>
        <v>Sunita Rao</v>
      </c>
      <c r="T58">
        <f>VLOOKUP(E58,Departments!$A$2:$D$6,4,FALSE)</f>
        <v>9000000</v>
      </c>
      <c r="U58">
        <f t="shared" si="5"/>
        <v>2017</v>
      </c>
    </row>
    <row r="59" spans="1:21" x14ac:dyDescent="0.35">
      <c r="A59" s="2" t="s">
        <v>198</v>
      </c>
      <c r="B59" s="2" t="s">
        <v>68</v>
      </c>
      <c r="C59" s="2" t="s">
        <v>86</v>
      </c>
      <c r="D59" s="2" t="s">
        <v>39</v>
      </c>
      <c r="E59" s="2" t="s">
        <v>26</v>
      </c>
      <c r="F59" s="2" t="s">
        <v>27</v>
      </c>
      <c r="G59" s="3">
        <v>45004</v>
      </c>
      <c r="H59" s="4">
        <v>66500</v>
      </c>
      <c r="I59" s="4">
        <v>3300</v>
      </c>
      <c r="J59" s="2" t="s">
        <v>28</v>
      </c>
      <c r="K59" s="2" t="s">
        <v>29</v>
      </c>
      <c r="L59" s="2" t="s">
        <v>21</v>
      </c>
      <c r="M59" s="2">
        <v>9407313843</v>
      </c>
      <c r="N59" t="str">
        <f t="shared" si="0"/>
        <v>Liam Taylor</v>
      </c>
      <c r="O59" s="8">
        <f t="shared" si="1"/>
        <v>69800</v>
      </c>
      <c r="P59">
        <f t="shared" ca="1" si="2"/>
        <v>3</v>
      </c>
      <c r="Q59" t="str">
        <f t="shared" si="3"/>
        <v>B</v>
      </c>
      <c r="R59" t="str">
        <f t="shared" ca="1" si="4"/>
        <v>3-5 yrs</v>
      </c>
      <c r="S59" t="str">
        <f>VLOOKUP(E59,Departments!$A$2:$D$6,3,FALSE)</f>
        <v>Anil Kumar</v>
      </c>
      <c r="T59">
        <f>VLOOKUP(E59,Departments!$A$2:$D$6,4,FALSE)</f>
        <v>15000000</v>
      </c>
      <c r="U59">
        <f t="shared" si="5"/>
        <v>2023</v>
      </c>
    </row>
    <row r="60" spans="1:21" x14ac:dyDescent="0.35">
      <c r="A60" s="2" t="s">
        <v>200</v>
      </c>
      <c r="B60" s="2" t="s">
        <v>76</v>
      </c>
      <c r="C60" s="2" t="s">
        <v>146</v>
      </c>
      <c r="D60" s="2" t="s">
        <v>39</v>
      </c>
      <c r="E60" s="2" t="s">
        <v>17</v>
      </c>
      <c r="F60" s="2" t="s">
        <v>58</v>
      </c>
      <c r="G60" s="3">
        <v>43412</v>
      </c>
      <c r="H60" s="4">
        <v>62000</v>
      </c>
      <c r="I60" s="4">
        <v>0</v>
      </c>
      <c r="J60" s="2" t="s">
        <v>28</v>
      </c>
      <c r="K60" s="2" t="s">
        <v>42</v>
      </c>
      <c r="L60" s="2" t="s">
        <v>21</v>
      </c>
      <c r="M60" s="2">
        <v>9379354398</v>
      </c>
      <c r="N60" t="str">
        <f t="shared" si="0"/>
        <v>Vikram Brown</v>
      </c>
      <c r="O60" s="8">
        <f t="shared" si="1"/>
        <v>62000</v>
      </c>
      <c r="P60">
        <f t="shared" ca="1" si="2"/>
        <v>7</v>
      </c>
      <c r="Q60" t="str">
        <f t="shared" si="3"/>
        <v>B</v>
      </c>
      <c r="R60" t="str">
        <f t="shared" ca="1" si="4"/>
        <v>6-8 yrs</v>
      </c>
      <c r="S60" t="str">
        <f>VLOOKUP(E60,Departments!$A$2:$D$6,3,FALSE)</f>
        <v>Rekha Iyer</v>
      </c>
      <c r="T60">
        <f>VLOOKUP(E60,Departments!$A$2:$D$6,4,FALSE)</f>
        <v>5000000</v>
      </c>
      <c r="U60">
        <f t="shared" si="5"/>
        <v>2018</v>
      </c>
    </row>
    <row r="61" spans="1:21" x14ac:dyDescent="0.35">
      <c r="A61" s="2" t="s">
        <v>202</v>
      </c>
      <c r="B61" s="2" t="s">
        <v>112</v>
      </c>
      <c r="C61" s="2" t="s">
        <v>86</v>
      </c>
      <c r="D61" s="2" t="s">
        <v>16</v>
      </c>
      <c r="E61" s="2" t="s">
        <v>40</v>
      </c>
      <c r="F61" s="2" t="s">
        <v>41</v>
      </c>
      <c r="G61" s="3">
        <v>43620</v>
      </c>
      <c r="H61" s="4">
        <v>89000</v>
      </c>
      <c r="I61" s="4">
        <v>0</v>
      </c>
      <c r="J61" s="2" t="s">
        <v>28</v>
      </c>
      <c r="K61" s="2" t="s">
        <v>42</v>
      </c>
      <c r="L61" s="2" t="s">
        <v>21</v>
      </c>
      <c r="M61" s="2">
        <v>9971692124</v>
      </c>
      <c r="N61" t="str">
        <f t="shared" si="0"/>
        <v>Meera Taylor</v>
      </c>
      <c r="O61" s="8">
        <f t="shared" si="1"/>
        <v>89000</v>
      </c>
      <c r="P61">
        <f t="shared" ca="1" si="2"/>
        <v>7</v>
      </c>
      <c r="Q61" t="str">
        <f t="shared" si="3"/>
        <v>B</v>
      </c>
      <c r="R61" t="str">
        <f t="shared" ca="1" si="4"/>
        <v>6-8 yrs</v>
      </c>
      <c r="S61" t="str">
        <f>VLOOKUP(E61,Departments!$A$2:$D$6,3,FALSE)</f>
        <v>Suresh Menon</v>
      </c>
      <c r="T61">
        <f>VLOOKUP(E61,Departments!$A$2:$D$6,4,FALSE)</f>
        <v>8000000</v>
      </c>
      <c r="U61">
        <f t="shared" si="5"/>
        <v>2019</v>
      </c>
    </row>
    <row r="62" spans="1:21" x14ac:dyDescent="0.35">
      <c r="A62" s="2" t="s">
        <v>204</v>
      </c>
      <c r="B62" s="2" t="s">
        <v>205</v>
      </c>
      <c r="C62" s="2" t="s">
        <v>57</v>
      </c>
      <c r="D62" s="2" t="s">
        <v>16</v>
      </c>
      <c r="E62" s="2" t="s">
        <v>51</v>
      </c>
      <c r="F62" s="2" t="s">
        <v>117</v>
      </c>
      <c r="G62" s="3">
        <v>43848</v>
      </c>
      <c r="H62" s="4">
        <v>90000</v>
      </c>
      <c r="I62" s="4">
        <v>4500</v>
      </c>
      <c r="J62" s="2" t="s">
        <v>69</v>
      </c>
      <c r="K62" s="2" t="s">
        <v>20</v>
      </c>
      <c r="L62" s="2" t="s">
        <v>21</v>
      </c>
      <c r="M62" s="2" t="s">
        <v>292</v>
      </c>
      <c r="N62" t="str">
        <f t="shared" si="0"/>
        <v>Mia Smith</v>
      </c>
      <c r="O62" s="8">
        <f t="shared" si="1"/>
        <v>94500</v>
      </c>
      <c r="P62">
        <f t="shared" ca="1" si="2"/>
        <v>6</v>
      </c>
      <c r="Q62" t="str">
        <f t="shared" si="3"/>
        <v>B</v>
      </c>
      <c r="R62" t="str">
        <f t="shared" ca="1" si="4"/>
        <v>6-8 yrs</v>
      </c>
      <c r="S62" t="str">
        <f>VLOOKUP(E62,Departments!$A$2:$D$6,3,FALSE)</f>
        <v>David Miller</v>
      </c>
      <c r="T62">
        <f>VLOOKUP(E62,Departments!$A$2:$D$6,4,FALSE)</f>
        <v>7000000</v>
      </c>
      <c r="U62">
        <f t="shared" si="5"/>
        <v>2020</v>
      </c>
    </row>
    <row r="63" spans="1:21" x14ac:dyDescent="0.35">
      <c r="A63" s="2" t="s">
        <v>206</v>
      </c>
      <c r="B63" s="2" t="s">
        <v>207</v>
      </c>
      <c r="C63" s="2" t="s">
        <v>50</v>
      </c>
      <c r="D63" s="2" t="s">
        <v>16</v>
      </c>
      <c r="E63" s="2" t="s">
        <v>51</v>
      </c>
      <c r="F63" s="2" t="s">
        <v>117</v>
      </c>
      <c r="G63" s="3">
        <v>45320</v>
      </c>
      <c r="H63" s="4">
        <v>57000</v>
      </c>
      <c r="I63" s="4">
        <v>5700</v>
      </c>
      <c r="J63" s="2" t="s">
        <v>28</v>
      </c>
      <c r="K63" s="2" t="s">
        <v>29</v>
      </c>
      <c r="L63" s="2" t="s">
        <v>21</v>
      </c>
      <c r="M63" s="2">
        <v>9511069044</v>
      </c>
      <c r="N63" t="str">
        <f t="shared" si="0"/>
        <v>Neha Davis</v>
      </c>
      <c r="O63" s="8">
        <f t="shared" si="1"/>
        <v>62700</v>
      </c>
      <c r="P63">
        <f t="shared" ca="1" si="2"/>
        <v>2</v>
      </c>
      <c r="Q63" t="str">
        <f t="shared" si="3"/>
        <v>C</v>
      </c>
      <c r="R63" t="str">
        <f t="shared" ca="1" si="4"/>
        <v>0-2 yrs</v>
      </c>
      <c r="S63" t="str">
        <f>VLOOKUP(E63,Departments!$A$2:$D$6,3,FALSE)</f>
        <v>David Miller</v>
      </c>
      <c r="T63">
        <f>VLOOKUP(E63,Departments!$A$2:$D$6,4,FALSE)</f>
        <v>7000000</v>
      </c>
      <c r="U63">
        <f t="shared" si="5"/>
        <v>2024</v>
      </c>
    </row>
    <row r="64" spans="1:21" x14ac:dyDescent="0.35">
      <c r="A64" s="2" t="s">
        <v>209</v>
      </c>
      <c r="B64" s="2" t="s">
        <v>120</v>
      </c>
      <c r="C64" s="2" t="s">
        <v>15</v>
      </c>
      <c r="D64" s="2" t="s">
        <v>39</v>
      </c>
      <c r="E64" s="2" t="s">
        <v>51</v>
      </c>
      <c r="F64" s="2" t="s">
        <v>52</v>
      </c>
      <c r="G64" s="3">
        <v>45085</v>
      </c>
      <c r="H64" s="4">
        <v>62000</v>
      </c>
      <c r="I64" s="4">
        <v>0</v>
      </c>
      <c r="J64" s="2" t="s">
        <v>28</v>
      </c>
      <c r="K64" s="2" t="s">
        <v>53</v>
      </c>
      <c r="L64" s="2" t="s">
        <v>21</v>
      </c>
      <c r="M64" s="2">
        <v>9837395613</v>
      </c>
      <c r="N64" t="str">
        <f t="shared" si="0"/>
        <v>Karan Khan</v>
      </c>
      <c r="O64" s="8">
        <f t="shared" si="1"/>
        <v>62000</v>
      </c>
      <c r="P64">
        <f t="shared" ca="1" si="2"/>
        <v>3</v>
      </c>
      <c r="Q64" t="str">
        <f t="shared" si="3"/>
        <v>B</v>
      </c>
      <c r="R64" t="str">
        <f t="shared" ca="1" si="4"/>
        <v>3-5 yrs</v>
      </c>
      <c r="S64" t="str">
        <f>VLOOKUP(E64,Departments!$A$2:$D$6,3,FALSE)</f>
        <v>David Miller</v>
      </c>
      <c r="T64">
        <f>VLOOKUP(E64,Departments!$A$2:$D$6,4,FALSE)</f>
        <v>7000000</v>
      </c>
      <c r="U64">
        <f t="shared" si="5"/>
        <v>2023</v>
      </c>
    </row>
    <row r="65" spans="1:21" x14ac:dyDescent="0.35">
      <c r="A65" s="2" t="s">
        <v>211</v>
      </c>
      <c r="B65" s="2" t="s">
        <v>120</v>
      </c>
      <c r="C65" s="2" t="s">
        <v>113</v>
      </c>
      <c r="D65" s="2" t="s">
        <v>39</v>
      </c>
      <c r="E65" s="2" t="s">
        <v>17</v>
      </c>
      <c r="F65" s="2" t="s">
        <v>18</v>
      </c>
      <c r="G65" s="3">
        <v>43831</v>
      </c>
      <c r="H65" s="4">
        <v>77500</v>
      </c>
      <c r="I65" s="4">
        <v>3900</v>
      </c>
      <c r="J65" s="2" t="s">
        <v>62</v>
      </c>
      <c r="K65" s="2" t="s">
        <v>97</v>
      </c>
      <c r="L65" s="2" t="s">
        <v>21</v>
      </c>
      <c r="M65" s="2">
        <v>9123418862</v>
      </c>
      <c r="N65" t="str">
        <f t="shared" si="0"/>
        <v>Karan Reddy</v>
      </c>
      <c r="O65" s="8">
        <f t="shared" si="1"/>
        <v>81400</v>
      </c>
      <c r="P65">
        <f t="shared" ca="1" si="2"/>
        <v>6</v>
      </c>
      <c r="Q65" t="str">
        <f t="shared" si="3"/>
        <v>B</v>
      </c>
      <c r="R65" t="str">
        <f t="shared" ca="1" si="4"/>
        <v>6-8 yrs</v>
      </c>
      <c r="S65" t="str">
        <f>VLOOKUP(E65,Departments!$A$2:$D$6,3,FALSE)</f>
        <v>Rekha Iyer</v>
      </c>
      <c r="T65">
        <f>VLOOKUP(E65,Departments!$A$2:$D$6,4,FALSE)</f>
        <v>5000000</v>
      </c>
      <c r="U65">
        <f t="shared" si="5"/>
        <v>2020</v>
      </c>
    </row>
    <row r="66" spans="1:21" x14ac:dyDescent="0.35">
      <c r="A66" s="2" t="s">
        <v>213</v>
      </c>
      <c r="B66" s="2" t="s">
        <v>61</v>
      </c>
      <c r="C66" s="2" t="s">
        <v>101</v>
      </c>
      <c r="D66" s="2" t="s">
        <v>16</v>
      </c>
      <c r="E66" s="2" t="s">
        <v>17</v>
      </c>
      <c r="F66" s="2" t="s">
        <v>18</v>
      </c>
      <c r="G66" s="3">
        <v>42304</v>
      </c>
      <c r="H66" s="4">
        <v>35000</v>
      </c>
      <c r="I66" s="4">
        <v>1800</v>
      </c>
      <c r="J66" s="2" t="s">
        <v>62</v>
      </c>
      <c r="K66" s="2" t="s">
        <v>20</v>
      </c>
      <c r="L66" s="2" t="s">
        <v>46</v>
      </c>
      <c r="M66" s="2">
        <v>9602673754</v>
      </c>
      <c r="N66" t="str">
        <f t="shared" si="0"/>
        <v>Riya Wilson</v>
      </c>
      <c r="O66" s="8">
        <f t="shared" si="1"/>
        <v>36800</v>
      </c>
      <c r="P66">
        <f t="shared" ca="1" si="2"/>
        <v>11</v>
      </c>
      <c r="Q66" t="str">
        <f t="shared" si="3"/>
        <v>C</v>
      </c>
      <c r="R66" t="str">
        <f t="shared" ca="1" si="4"/>
        <v>9+ yrs</v>
      </c>
      <c r="S66" t="str">
        <f>VLOOKUP(E66,Departments!$A$2:$D$6,3,FALSE)</f>
        <v>Rekha Iyer</v>
      </c>
      <c r="T66">
        <f>VLOOKUP(E66,Departments!$A$2:$D$6,4,FALSE)</f>
        <v>5000000</v>
      </c>
      <c r="U66">
        <f t="shared" si="5"/>
        <v>2015</v>
      </c>
    </row>
    <row r="67" spans="1:21" x14ac:dyDescent="0.35">
      <c r="A67" s="2" t="s">
        <v>215</v>
      </c>
      <c r="B67" s="2" t="s">
        <v>76</v>
      </c>
      <c r="C67" s="2" t="s">
        <v>101</v>
      </c>
      <c r="D67" s="2" t="s">
        <v>39</v>
      </c>
      <c r="E67" s="2" t="s">
        <v>33</v>
      </c>
      <c r="F67" s="2" t="s">
        <v>160</v>
      </c>
      <c r="G67" s="3">
        <v>44798</v>
      </c>
      <c r="H67" s="4">
        <v>74000</v>
      </c>
      <c r="I67" s="4">
        <v>0</v>
      </c>
      <c r="J67" s="2" t="s">
        <v>62</v>
      </c>
      <c r="K67" s="2" t="s">
        <v>29</v>
      </c>
      <c r="L67" s="2" t="s">
        <v>21</v>
      </c>
      <c r="M67" s="2">
        <v>9921198328</v>
      </c>
      <c r="N67" t="str">
        <f t="shared" ref="N67:N101" si="6">B67&amp;" "&amp;C67</f>
        <v>Vikram Wilson</v>
      </c>
      <c r="O67" s="8">
        <f t="shared" ref="O67:O101" si="7">SUM(H67:I67)</f>
        <v>74000</v>
      </c>
      <c r="P67">
        <f t="shared" ref="P67:P101" ca="1" si="8">DATEDIF(G67,TODAY(),"Y")</f>
        <v>4</v>
      </c>
      <c r="Q67" t="str">
        <f t="shared" ref="Q67:Q101" si="9">IF(H67&gt;=100000,"A",IF(H67&gt;=60000,"B","C"))</f>
        <v>B</v>
      </c>
      <c r="R67" t="str">
        <f t="shared" ref="R67:R101" ca="1" si="10">IF(P67&lt;3,"0-2 yrs",IF(P67&lt;6,"3-5 yrs",IF(P67&lt;9,"6-8 yrs","9+ yrs")))</f>
        <v>3-5 yrs</v>
      </c>
      <c r="S67" t="str">
        <f>VLOOKUP(E67,Departments!$A$2:$D$6,3,FALSE)</f>
        <v>Sunita Rao</v>
      </c>
      <c r="T67">
        <f>VLOOKUP(E67,Departments!$A$2:$D$6,4,FALSE)</f>
        <v>9000000</v>
      </c>
      <c r="U67">
        <f t="shared" ref="U67:U101" si="11">YEAR(G67)</f>
        <v>2022</v>
      </c>
    </row>
    <row r="68" spans="1:21" x14ac:dyDescent="0.35">
      <c r="A68" s="2" t="s">
        <v>217</v>
      </c>
      <c r="B68" s="2" t="s">
        <v>152</v>
      </c>
      <c r="C68" s="2" t="s">
        <v>180</v>
      </c>
      <c r="D68" s="2" t="s">
        <v>39</v>
      </c>
      <c r="E68" s="2" t="s">
        <v>33</v>
      </c>
      <c r="F68" s="2" t="s">
        <v>34</v>
      </c>
      <c r="G68" s="3">
        <v>44337</v>
      </c>
      <c r="H68" s="4">
        <v>55000</v>
      </c>
      <c r="I68" s="4">
        <v>0</v>
      </c>
      <c r="J68" s="2" t="s">
        <v>19</v>
      </c>
      <c r="K68" s="2" t="s">
        <v>35</v>
      </c>
      <c r="L68" s="2" t="s">
        <v>21</v>
      </c>
      <c r="M68" s="2" t="s">
        <v>292</v>
      </c>
      <c r="N68" t="str">
        <f t="shared" si="6"/>
        <v>Aarav Joshi</v>
      </c>
      <c r="O68" s="8">
        <f t="shared" si="7"/>
        <v>55000</v>
      </c>
      <c r="P68">
        <f t="shared" ca="1" si="8"/>
        <v>5</v>
      </c>
      <c r="Q68" t="str">
        <f t="shared" si="9"/>
        <v>C</v>
      </c>
      <c r="R68" t="str">
        <f t="shared" ca="1" si="10"/>
        <v>3-5 yrs</v>
      </c>
      <c r="S68" t="str">
        <f>VLOOKUP(E68,Departments!$A$2:$D$6,3,FALSE)</f>
        <v>Sunita Rao</v>
      </c>
      <c r="T68">
        <f>VLOOKUP(E68,Departments!$A$2:$D$6,4,FALSE)</f>
        <v>9000000</v>
      </c>
      <c r="U68">
        <f t="shared" si="11"/>
        <v>2021</v>
      </c>
    </row>
    <row r="69" spans="1:21" x14ac:dyDescent="0.35">
      <c r="A69" s="2" t="s">
        <v>218</v>
      </c>
      <c r="B69" s="2" t="s">
        <v>100</v>
      </c>
      <c r="C69" s="2" t="s">
        <v>82</v>
      </c>
      <c r="D69" s="2" t="s">
        <v>16</v>
      </c>
      <c r="E69" s="2" t="s">
        <v>26</v>
      </c>
      <c r="F69" s="2" t="s">
        <v>27</v>
      </c>
      <c r="G69" s="3">
        <v>42293</v>
      </c>
      <c r="H69" s="4">
        <v>73000</v>
      </c>
      <c r="I69" s="4">
        <v>0</v>
      </c>
      <c r="J69" s="2" t="s">
        <v>28</v>
      </c>
      <c r="K69" s="2" t="s">
        <v>29</v>
      </c>
      <c r="L69" s="2" t="s">
        <v>21</v>
      </c>
      <c r="M69" s="2">
        <v>9340070455</v>
      </c>
      <c r="N69" t="str">
        <f t="shared" si="6"/>
        <v>Olivia Sharma</v>
      </c>
      <c r="O69" s="8">
        <f t="shared" si="7"/>
        <v>73000</v>
      </c>
      <c r="P69">
        <f t="shared" ca="1" si="8"/>
        <v>11</v>
      </c>
      <c r="Q69" t="str">
        <f t="shared" si="9"/>
        <v>B</v>
      </c>
      <c r="R69" t="str">
        <f t="shared" ca="1" si="10"/>
        <v>9+ yrs</v>
      </c>
      <c r="S69" t="str">
        <f>VLOOKUP(E69,Departments!$A$2:$D$6,3,FALSE)</f>
        <v>Anil Kumar</v>
      </c>
      <c r="T69">
        <f>VLOOKUP(E69,Departments!$A$2:$D$6,4,FALSE)</f>
        <v>15000000</v>
      </c>
      <c r="U69">
        <f t="shared" si="11"/>
        <v>2015</v>
      </c>
    </row>
    <row r="70" spans="1:21" x14ac:dyDescent="0.35">
      <c r="A70" s="2" t="s">
        <v>220</v>
      </c>
      <c r="B70" s="2" t="s">
        <v>112</v>
      </c>
      <c r="C70" s="2" t="s">
        <v>32</v>
      </c>
      <c r="D70" s="2" t="s">
        <v>16</v>
      </c>
      <c r="E70" s="2" t="s">
        <v>51</v>
      </c>
      <c r="F70" s="2" t="s">
        <v>52</v>
      </c>
      <c r="G70" s="3">
        <v>44645</v>
      </c>
      <c r="H70" s="4">
        <v>60500</v>
      </c>
      <c r="I70" s="4">
        <v>0</v>
      </c>
      <c r="J70" s="2" t="s">
        <v>28</v>
      </c>
      <c r="K70" s="2" t="s">
        <v>20</v>
      </c>
      <c r="L70" s="2" t="s">
        <v>21</v>
      </c>
      <c r="M70" s="2">
        <v>9542177781</v>
      </c>
      <c r="N70" t="str">
        <f t="shared" si="6"/>
        <v>Meera Das</v>
      </c>
      <c r="O70" s="8">
        <f t="shared" si="7"/>
        <v>60500</v>
      </c>
      <c r="P70">
        <f t="shared" ca="1" si="8"/>
        <v>4</v>
      </c>
      <c r="Q70" t="str">
        <f t="shared" si="9"/>
        <v>B</v>
      </c>
      <c r="R70" t="str">
        <f t="shared" ca="1" si="10"/>
        <v>3-5 yrs</v>
      </c>
      <c r="S70" t="str">
        <f>VLOOKUP(E70,Departments!$A$2:$D$6,3,FALSE)</f>
        <v>David Miller</v>
      </c>
      <c r="T70">
        <f>VLOOKUP(E70,Departments!$A$2:$D$6,4,FALSE)</f>
        <v>7000000</v>
      </c>
      <c r="U70">
        <f t="shared" si="11"/>
        <v>2022</v>
      </c>
    </row>
    <row r="71" spans="1:21" x14ac:dyDescent="0.35">
      <c r="A71" s="2" t="s">
        <v>222</v>
      </c>
      <c r="B71" s="2" t="s">
        <v>174</v>
      </c>
      <c r="C71" s="2" t="s">
        <v>57</v>
      </c>
      <c r="D71" s="2" t="s">
        <v>39</v>
      </c>
      <c r="E71" s="2" t="s">
        <v>17</v>
      </c>
      <c r="F71" s="2" t="s">
        <v>58</v>
      </c>
      <c r="G71" s="3">
        <v>43058</v>
      </c>
      <c r="H71" s="4">
        <v>40500</v>
      </c>
      <c r="I71" s="4">
        <v>0</v>
      </c>
      <c r="J71" s="2" t="s">
        <v>19</v>
      </c>
      <c r="K71" s="2" t="s">
        <v>97</v>
      </c>
      <c r="L71" s="2" t="s">
        <v>46</v>
      </c>
      <c r="M71" s="2">
        <v>9136611830</v>
      </c>
      <c r="N71" t="str">
        <f t="shared" si="6"/>
        <v>Amit Smith</v>
      </c>
      <c r="O71" s="8">
        <f t="shared" si="7"/>
        <v>40500</v>
      </c>
      <c r="P71">
        <f t="shared" ca="1" si="8"/>
        <v>8</v>
      </c>
      <c r="Q71" t="str">
        <f t="shared" si="9"/>
        <v>C</v>
      </c>
      <c r="R71" t="str">
        <f t="shared" ca="1" si="10"/>
        <v>6-8 yrs</v>
      </c>
      <c r="S71" t="str">
        <f>VLOOKUP(E71,Departments!$A$2:$D$6,3,FALSE)</f>
        <v>Rekha Iyer</v>
      </c>
      <c r="T71">
        <f>VLOOKUP(E71,Departments!$A$2:$D$6,4,FALSE)</f>
        <v>5000000</v>
      </c>
      <c r="U71">
        <f t="shared" si="11"/>
        <v>2017</v>
      </c>
    </row>
    <row r="72" spans="1:21" x14ac:dyDescent="0.35">
      <c r="A72" s="2" t="s">
        <v>224</v>
      </c>
      <c r="B72" s="2" t="s">
        <v>44</v>
      </c>
      <c r="C72" s="2" t="s">
        <v>32</v>
      </c>
      <c r="D72" s="2" t="s">
        <v>16</v>
      </c>
      <c r="E72" s="2" t="s">
        <v>17</v>
      </c>
      <c r="F72" s="2" t="s">
        <v>18</v>
      </c>
      <c r="G72" s="3">
        <v>42032</v>
      </c>
      <c r="H72" s="4">
        <v>48000</v>
      </c>
      <c r="I72" s="4">
        <v>0</v>
      </c>
      <c r="J72" s="2" t="s">
        <v>19</v>
      </c>
      <c r="K72" s="2" t="s">
        <v>42</v>
      </c>
      <c r="L72" s="2" t="s">
        <v>21</v>
      </c>
      <c r="M72" s="2">
        <v>9315192683</v>
      </c>
      <c r="N72" t="str">
        <f t="shared" si="6"/>
        <v>Emma Das</v>
      </c>
      <c r="O72" s="8">
        <f t="shared" si="7"/>
        <v>48000</v>
      </c>
      <c r="P72">
        <f t="shared" ca="1" si="8"/>
        <v>11</v>
      </c>
      <c r="Q72" t="str">
        <f t="shared" si="9"/>
        <v>C</v>
      </c>
      <c r="R72" t="str">
        <f t="shared" ca="1" si="10"/>
        <v>9+ yrs</v>
      </c>
      <c r="S72" t="str">
        <f>VLOOKUP(E72,Departments!$A$2:$D$6,3,FALSE)</f>
        <v>Rekha Iyer</v>
      </c>
      <c r="T72">
        <f>VLOOKUP(E72,Departments!$A$2:$D$6,4,FALSE)</f>
        <v>5000000</v>
      </c>
      <c r="U72">
        <f t="shared" si="11"/>
        <v>2015</v>
      </c>
    </row>
    <row r="73" spans="1:21" x14ac:dyDescent="0.35">
      <c r="A73" s="2" t="s">
        <v>226</v>
      </c>
      <c r="B73" s="2" t="s">
        <v>207</v>
      </c>
      <c r="C73" s="2" t="s">
        <v>86</v>
      </c>
      <c r="D73" s="2" t="s">
        <v>16</v>
      </c>
      <c r="E73" s="2" t="s">
        <v>51</v>
      </c>
      <c r="F73" s="2" t="s">
        <v>87</v>
      </c>
      <c r="G73" s="3">
        <v>43213</v>
      </c>
      <c r="H73" s="4">
        <v>90000</v>
      </c>
      <c r="I73" s="4">
        <v>0</v>
      </c>
      <c r="J73" s="2" t="s">
        <v>62</v>
      </c>
      <c r="K73" s="2" t="s">
        <v>35</v>
      </c>
      <c r="L73" s="2" t="s">
        <v>21</v>
      </c>
      <c r="M73" s="2">
        <v>9339792468</v>
      </c>
      <c r="N73" t="str">
        <f t="shared" si="6"/>
        <v>Neha Taylor</v>
      </c>
      <c r="O73" s="8">
        <f t="shared" si="7"/>
        <v>90000</v>
      </c>
      <c r="P73">
        <f t="shared" ca="1" si="8"/>
        <v>8</v>
      </c>
      <c r="Q73" t="str">
        <f t="shared" si="9"/>
        <v>B</v>
      </c>
      <c r="R73" t="str">
        <f t="shared" ca="1" si="10"/>
        <v>6-8 yrs</v>
      </c>
      <c r="S73" t="str">
        <f>VLOOKUP(E73,Departments!$A$2:$D$6,3,FALSE)</f>
        <v>David Miller</v>
      </c>
      <c r="T73">
        <f>VLOOKUP(E73,Departments!$A$2:$D$6,4,FALSE)</f>
        <v>7000000</v>
      </c>
      <c r="U73">
        <f t="shared" si="11"/>
        <v>2018</v>
      </c>
    </row>
    <row r="74" spans="1:21" x14ac:dyDescent="0.35">
      <c r="A74" s="2" t="s">
        <v>228</v>
      </c>
      <c r="B74" s="2" t="s">
        <v>49</v>
      </c>
      <c r="C74" s="2" t="s">
        <v>38</v>
      </c>
      <c r="D74" s="2" t="s">
        <v>39</v>
      </c>
      <c r="E74" s="2" t="s">
        <v>33</v>
      </c>
      <c r="F74" s="2" t="s">
        <v>160</v>
      </c>
      <c r="G74" s="3">
        <v>42227</v>
      </c>
      <c r="H74" s="4">
        <v>66000</v>
      </c>
      <c r="I74" s="4">
        <v>0</v>
      </c>
      <c r="J74" s="2" t="s">
        <v>69</v>
      </c>
      <c r="K74" s="2" t="s">
        <v>97</v>
      </c>
      <c r="L74" s="2" t="s">
        <v>21</v>
      </c>
      <c r="M74" s="2">
        <v>9862204860</v>
      </c>
      <c r="N74" t="str">
        <f t="shared" si="6"/>
        <v>Nikhil Patel</v>
      </c>
      <c r="O74" s="8">
        <f t="shared" si="7"/>
        <v>66000</v>
      </c>
      <c r="P74">
        <f t="shared" ca="1" si="8"/>
        <v>11</v>
      </c>
      <c r="Q74" t="str">
        <f t="shared" si="9"/>
        <v>B</v>
      </c>
      <c r="R74" t="str">
        <f t="shared" ca="1" si="10"/>
        <v>9+ yrs</v>
      </c>
      <c r="S74" t="str">
        <f>VLOOKUP(E74,Departments!$A$2:$D$6,3,FALSE)</f>
        <v>Sunita Rao</v>
      </c>
      <c r="T74">
        <f>VLOOKUP(E74,Departments!$A$2:$D$6,4,FALSE)</f>
        <v>9000000</v>
      </c>
      <c r="U74">
        <f t="shared" si="11"/>
        <v>2015</v>
      </c>
    </row>
    <row r="75" spans="1:21" x14ac:dyDescent="0.35">
      <c r="A75" s="2" t="s">
        <v>230</v>
      </c>
      <c r="B75" s="2" t="s">
        <v>205</v>
      </c>
      <c r="C75" s="2" t="s">
        <v>101</v>
      </c>
      <c r="D75" s="2" t="s">
        <v>16</v>
      </c>
      <c r="E75" s="2" t="s">
        <v>51</v>
      </c>
      <c r="F75" s="2" t="s">
        <v>52</v>
      </c>
      <c r="G75" s="3">
        <v>42468</v>
      </c>
      <c r="H75" s="4">
        <v>88000</v>
      </c>
      <c r="I75" s="4">
        <v>0</v>
      </c>
      <c r="J75" s="2" t="s">
        <v>62</v>
      </c>
      <c r="K75" s="2" t="s">
        <v>53</v>
      </c>
      <c r="L75" s="2" t="s">
        <v>21</v>
      </c>
      <c r="M75" s="2">
        <v>9663497104</v>
      </c>
      <c r="N75" t="str">
        <f t="shared" si="6"/>
        <v>Mia Wilson</v>
      </c>
      <c r="O75" s="8">
        <f t="shared" si="7"/>
        <v>88000</v>
      </c>
      <c r="P75">
        <f t="shared" ca="1" si="8"/>
        <v>10</v>
      </c>
      <c r="Q75" t="str">
        <f t="shared" si="9"/>
        <v>B</v>
      </c>
      <c r="R75" t="str">
        <f t="shared" ca="1" si="10"/>
        <v>9+ yrs</v>
      </c>
      <c r="S75" t="str">
        <f>VLOOKUP(E75,Departments!$A$2:$D$6,3,FALSE)</f>
        <v>David Miller</v>
      </c>
      <c r="T75">
        <f>VLOOKUP(E75,Departments!$A$2:$D$6,4,FALSE)</f>
        <v>7000000</v>
      </c>
      <c r="U75">
        <f t="shared" si="11"/>
        <v>2016</v>
      </c>
    </row>
    <row r="76" spans="1:21" x14ac:dyDescent="0.35">
      <c r="A76" s="2" t="s">
        <v>232</v>
      </c>
      <c r="B76" s="2" t="s">
        <v>124</v>
      </c>
      <c r="C76" s="2" t="s">
        <v>50</v>
      </c>
      <c r="D76" s="2" t="s">
        <v>16</v>
      </c>
      <c r="E76" s="2" t="s">
        <v>51</v>
      </c>
      <c r="F76" s="2" t="s">
        <v>52</v>
      </c>
      <c r="G76" s="3">
        <v>43817</v>
      </c>
      <c r="H76" s="4">
        <v>61500</v>
      </c>
      <c r="I76" s="4">
        <v>0</v>
      </c>
      <c r="J76" s="2" t="s">
        <v>69</v>
      </c>
      <c r="K76" s="2" t="s">
        <v>29</v>
      </c>
      <c r="L76" s="2" t="s">
        <v>21</v>
      </c>
      <c r="M76" s="2" t="s">
        <v>292</v>
      </c>
      <c r="N76" t="str">
        <f t="shared" si="6"/>
        <v>Ava Davis</v>
      </c>
      <c r="O76" s="8">
        <f t="shared" si="7"/>
        <v>61500</v>
      </c>
      <c r="P76">
        <f t="shared" ca="1" si="8"/>
        <v>6</v>
      </c>
      <c r="Q76" t="str">
        <f t="shared" si="9"/>
        <v>B</v>
      </c>
      <c r="R76" t="str">
        <f t="shared" ca="1" si="10"/>
        <v>6-8 yrs</v>
      </c>
      <c r="S76" t="str">
        <f>VLOOKUP(E76,Departments!$A$2:$D$6,3,FALSE)</f>
        <v>David Miller</v>
      </c>
      <c r="T76">
        <f>VLOOKUP(E76,Departments!$A$2:$D$6,4,FALSE)</f>
        <v>7000000</v>
      </c>
      <c r="U76">
        <f t="shared" si="11"/>
        <v>2019</v>
      </c>
    </row>
    <row r="77" spans="1:21" x14ac:dyDescent="0.35">
      <c r="A77" s="2" t="s">
        <v>233</v>
      </c>
      <c r="B77" s="2" t="s">
        <v>120</v>
      </c>
      <c r="C77" s="2" t="s">
        <v>86</v>
      </c>
      <c r="D77" s="2" t="s">
        <v>39</v>
      </c>
      <c r="E77" s="2" t="s">
        <v>51</v>
      </c>
      <c r="F77" s="2" t="s">
        <v>52</v>
      </c>
      <c r="G77" s="3">
        <v>45370</v>
      </c>
      <c r="H77" s="4">
        <v>90500</v>
      </c>
      <c r="I77" s="4">
        <v>0</v>
      </c>
      <c r="J77" s="2" t="s">
        <v>19</v>
      </c>
      <c r="K77" s="2" t="s">
        <v>53</v>
      </c>
      <c r="L77" s="2" t="s">
        <v>21</v>
      </c>
      <c r="M77" s="2" t="s">
        <v>292</v>
      </c>
      <c r="N77" t="str">
        <f t="shared" si="6"/>
        <v>Karan Taylor</v>
      </c>
      <c r="O77" s="8">
        <f t="shared" si="7"/>
        <v>90500</v>
      </c>
      <c r="P77">
        <f t="shared" ca="1" si="8"/>
        <v>2</v>
      </c>
      <c r="Q77" t="str">
        <f t="shared" si="9"/>
        <v>B</v>
      </c>
      <c r="R77" t="str">
        <f t="shared" ca="1" si="10"/>
        <v>0-2 yrs</v>
      </c>
      <c r="S77" t="str">
        <f>VLOOKUP(E77,Departments!$A$2:$D$6,3,FALSE)</f>
        <v>David Miller</v>
      </c>
      <c r="T77">
        <f>VLOOKUP(E77,Departments!$A$2:$D$6,4,FALSE)</f>
        <v>7000000</v>
      </c>
      <c r="U77">
        <f t="shared" si="11"/>
        <v>2024</v>
      </c>
    </row>
    <row r="78" spans="1:21" x14ac:dyDescent="0.35">
      <c r="A78" s="2" t="s">
        <v>234</v>
      </c>
      <c r="B78" s="2" t="s">
        <v>207</v>
      </c>
      <c r="C78" s="2" t="s">
        <v>146</v>
      </c>
      <c r="D78" s="2" t="s">
        <v>16</v>
      </c>
      <c r="E78" s="2" t="s">
        <v>51</v>
      </c>
      <c r="F78" s="2" t="s">
        <v>52</v>
      </c>
      <c r="G78" s="3">
        <v>45025</v>
      </c>
      <c r="H78" s="4">
        <v>64000</v>
      </c>
      <c r="I78" s="4">
        <v>3200</v>
      </c>
      <c r="J78" s="2" t="s">
        <v>69</v>
      </c>
      <c r="K78" s="2" t="s">
        <v>97</v>
      </c>
      <c r="L78" s="2" t="s">
        <v>21</v>
      </c>
      <c r="M78" s="2">
        <v>9923203499</v>
      </c>
      <c r="N78" t="str">
        <f t="shared" si="6"/>
        <v>Neha Brown</v>
      </c>
      <c r="O78" s="8">
        <f t="shared" si="7"/>
        <v>67200</v>
      </c>
      <c r="P78">
        <f t="shared" ca="1" si="8"/>
        <v>3</v>
      </c>
      <c r="Q78" t="str">
        <f t="shared" si="9"/>
        <v>B</v>
      </c>
      <c r="R78" t="str">
        <f t="shared" ca="1" si="10"/>
        <v>3-5 yrs</v>
      </c>
      <c r="S78" t="str">
        <f>VLOOKUP(E78,Departments!$A$2:$D$6,3,FALSE)</f>
        <v>David Miller</v>
      </c>
      <c r="T78">
        <f>VLOOKUP(E78,Departments!$A$2:$D$6,4,FALSE)</f>
        <v>7000000</v>
      </c>
      <c r="U78">
        <f t="shared" si="11"/>
        <v>2023</v>
      </c>
    </row>
    <row r="79" spans="1:21" x14ac:dyDescent="0.35">
      <c r="A79" s="2" t="s">
        <v>236</v>
      </c>
      <c r="B79" s="2" t="s">
        <v>174</v>
      </c>
      <c r="C79" s="2" t="s">
        <v>57</v>
      </c>
      <c r="D79" s="2" t="s">
        <v>39</v>
      </c>
      <c r="E79" s="2" t="s">
        <v>26</v>
      </c>
      <c r="F79" s="2" t="s">
        <v>27</v>
      </c>
      <c r="G79" s="3">
        <v>43057</v>
      </c>
      <c r="H79" s="4">
        <v>68000</v>
      </c>
      <c r="I79" s="4">
        <v>0</v>
      </c>
      <c r="J79" s="2" t="s">
        <v>19</v>
      </c>
      <c r="K79" s="2" t="s">
        <v>53</v>
      </c>
      <c r="L79" s="2" t="s">
        <v>46</v>
      </c>
      <c r="M79" s="2">
        <v>9392395645</v>
      </c>
      <c r="N79" t="str">
        <f t="shared" si="6"/>
        <v>Amit Smith</v>
      </c>
      <c r="O79" s="8">
        <f t="shared" si="7"/>
        <v>68000</v>
      </c>
      <c r="P79">
        <f t="shared" ca="1" si="8"/>
        <v>8</v>
      </c>
      <c r="Q79" t="str">
        <f t="shared" si="9"/>
        <v>B</v>
      </c>
      <c r="R79" t="str">
        <f t="shared" ca="1" si="10"/>
        <v>6-8 yrs</v>
      </c>
      <c r="S79" t="str">
        <f>VLOOKUP(E79,Departments!$A$2:$D$6,3,FALSE)</f>
        <v>Anil Kumar</v>
      </c>
      <c r="T79">
        <f>VLOOKUP(E79,Departments!$A$2:$D$6,4,FALSE)</f>
        <v>15000000</v>
      </c>
      <c r="U79">
        <f t="shared" si="11"/>
        <v>2017</v>
      </c>
    </row>
    <row r="80" spans="1:21" x14ac:dyDescent="0.35">
      <c r="A80" s="2" t="s">
        <v>238</v>
      </c>
      <c r="B80" s="2" t="s">
        <v>205</v>
      </c>
      <c r="C80" s="2" t="s">
        <v>25</v>
      </c>
      <c r="D80" s="2" t="s">
        <v>16</v>
      </c>
      <c r="E80" s="2" t="s">
        <v>51</v>
      </c>
      <c r="F80" s="2" t="s">
        <v>52</v>
      </c>
      <c r="G80" s="3">
        <v>42020</v>
      </c>
      <c r="H80" s="4">
        <v>59500</v>
      </c>
      <c r="I80" s="4">
        <v>6000</v>
      </c>
      <c r="J80" s="2" t="s">
        <v>19</v>
      </c>
      <c r="K80" s="2" t="s">
        <v>97</v>
      </c>
      <c r="L80" s="2" t="s">
        <v>21</v>
      </c>
      <c r="M80" s="2">
        <v>9126045435</v>
      </c>
      <c r="N80" t="str">
        <f t="shared" si="6"/>
        <v>Mia Mehta</v>
      </c>
      <c r="O80" s="8">
        <f t="shared" si="7"/>
        <v>65500</v>
      </c>
      <c r="P80">
        <f t="shared" ca="1" si="8"/>
        <v>11</v>
      </c>
      <c r="Q80" t="str">
        <f t="shared" si="9"/>
        <v>C</v>
      </c>
      <c r="R80" t="str">
        <f t="shared" ca="1" si="10"/>
        <v>9+ yrs</v>
      </c>
      <c r="S80" t="str">
        <f>VLOOKUP(E80,Departments!$A$2:$D$6,3,FALSE)</f>
        <v>David Miller</v>
      </c>
      <c r="T80">
        <f>VLOOKUP(E80,Departments!$A$2:$D$6,4,FALSE)</f>
        <v>7000000</v>
      </c>
      <c r="U80">
        <f t="shared" si="11"/>
        <v>2015</v>
      </c>
    </row>
    <row r="81" spans="1:21" x14ac:dyDescent="0.35">
      <c r="A81" s="2" t="s">
        <v>240</v>
      </c>
      <c r="B81" s="2" t="s">
        <v>109</v>
      </c>
      <c r="C81" s="2" t="s">
        <v>32</v>
      </c>
      <c r="D81" s="2" t="s">
        <v>16</v>
      </c>
      <c r="E81" s="2" t="s">
        <v>17</v>
      </c>
      <c r="F81" s="2" t="s">
        <v>58</v>
      </c>
      <c r="G81" s="3">
        <v>43766</v>
      </c>
      <c r="H81" s="4">
        <v>51500</v>
      </c>
      <c r="I81" s="4">
        <v>2600</v>
      </c>
      <c r="J81" s="2" t="s">
        <v>69</v>
      </c>
      <c r="K81" s="2" t="s">
        <v>42</v>
      </c>
      <c r="L81" s="2" t="s">
        <v>21</v>
      </c>
      <c r="M81" s="2" t="s">
        <v>292</v>
      </c>
      <c r="N81" t="str">
        <f t="shared" si="6"/>
        <v>Sophia Das</v>
      </c>
      <c r="O81" s="8">
        <f t="shared" si="7"/>
        <v>54100</v>
      </c>
      <c r="P81">
        <f t="shared" ca="1" si="8"/>
        <v>6</v>
      </c>
      <c r="Q81" t="str">
        <f t="shared" si="9"/>
        <v>C</v>
      </c>
      <c r="R81" t="str">
        <f t="shared" ca="1" si="10"/>
        <v>6-8 yrs</v>
      </c>
      <c r="S81" t="str">
        <f>VLOOKUP(E81,Departments!$A$2:$D$6,3,FALSE)</f>
        <v>Rekha Iyer</v>
      </c>
      <c r="T81">
        <f>VLOOKUP(E81,Departments!$A$2:$D$6,4,FALSE)</f>
        <v>5000000</v>
      </c>
      <c r="U81">
        <f t="shared" si="11"/>
        <v>2019</v>
      </c>
    </row>
    <row r="82" spans="1:21" x14ac:dyDescent="0.35">
      <c r="A82" s="2" t="s">
        <v>241</v>
      </c>
      <c r="B82" s="2" t="s">
        <v>81</v>
      </c>
      <c r="C82" s="2" t="s">
        <v>50</v>
      </c>
      <c r="D82" s="2" t="s">
        <v>39</v>
      </c>
      <c r="E82" s="2" t="s">
        <v>51</v>
      </c>
      <c r="F82" s="2" t="s">
        <v>52</v>
      </c>
      <c r="G82" s="3">
        <v>43487</v>
      </c>
      <c r="H82" s="4">
        <v>70000</v>
      </c>
      <c r="I82" s="4">
        <v>7000</v>
      </c>
      <c r="J82" s="2" t="s">
        <v>69</v>
      </c>
      <c r="K82" s="2" t="s">
        <v>35</v>
      </c>
      <c r="L82" s="2" t="s">
        <v>21</v>
      </c>
      <c r="M82" s="2">
        <v>9365544423</v>
      </c>
      <c r="N82" t="str">
        <f t="shared" si="6"/>
        <v>Imran Davis</v>
      </c>
      <c r="O82" s="8">
        <f t="shared" si="7"/>
        <v>77000</v>
      </c>
      <c r="P82">
        <f t="shared" ca="1" si="8"/>
        <v>7</v>
      </c>
      <c r="Q82" t="str">
        <f t="shared" si="9"/>
        <v>B</v>
      </c>
      <c r="R82" t="str">
        <f t="shared" ca="1" si="10"/>
        <v>6-8 yrs</v>
      </c>
      <c r="S82" t="str">
        <f>VLOOKUP(E82,Departments!$A$2:$D$6,3,FALSE)</f>
        <v>David Miller</v>
      </c>
      <c r="T82">
        <f>VLOOKUP(E82,Departments!$A$2:$D$6,4,FALSE)</f>
        <v>7000000</v>
      </c>
      <c r="U82">
        <f t="shared" si="11"/>
        <v>2019</v>
      </c>
    </row>
    <row r="83" spans="1:21" x14ac:dyDescent="0.35">
      <c r="A83" s="2" t="s">
        <v>243</v>
      </c>
      <c r="B83" s="2" t="s">
        <v>174</v>
      </c>
      <c r="C83" s="2" t="s">
        <v>175</v>
      </c>
      <c r="D83" s="2" t="s">
        <v>39</v>
      </c>
      <c r="E83" s="2" t="s">
        <v>40</v>
      </c>
      <c r="F83" s="2" t="s">
        <v>83</v>
      </c>
      <c r="G83" s="3">
        <v>43339</v>
      </c>
      <c r="H83" s="4">
        <v>80500</v>
      </c>
      <c r="I83" s="4">
        <v>0</v>
      </c>
      <c r="J83" s="2" t="s">
        <v>62</v>
      </c>
      <c r="K83" s="2" t="s">
        <v>20</v>
      </c>
      <c r="L83" s="2" t="s">
        <v>46</v>
      </c>
      <c r="M83" s="2">
        <v>9384424887</v>
      </c>
      <c r="N83" t="str">
        <f t="shared" si="6"/>
        <v>Amit Singh</v>
      </c>
      <c r="O83" s="8">
        <f t="shared" si="7"/>
        <v>80500</v>
      </c>
      <c r="P83">
        <f t="shared" ca="1" si="8"/>
        <v>8</v>
      </c>
      <c r="Q83" t="str">
        <f t="shared" si="9"/>
        <v>B</v>
      </c>
      <c r="R83" t="str">
        <f t="shared" ca="1" si="10"/>
        <v>6-8 yrs</v>
      </c>
      <c r="S83" t="str">
        <f>VLOOKUP(E83,Departments!$A$2:$D$6,3,FALSE)</f>
        <v>Suresh Menon</v>
      </c>
      <c r="T83">
        <f>VLOOKUP(E83,Departments!$A$2:$D$6,4,FALSE)</f>
        <v>8000000</v>
      </c>
      <c r="U83">
        <f t="shared" si="11"/>
        <v>2018</v>
      </c>
    </row>
    <row r="84" spans="1:21" x14ac:dyDescent="0.35">
      <c r="A84" s="2" t="s">
        <v>245</v>
      </c>
      <c r="B84" s="2" t="s">
        <v>112</v>
      </c>
      <c r="C84" s="2" t="s">
        <v>116</v>
      </c>
      <c r="D84" s="2" t="s">
        <v>16</v>
      </c>
      <c r="E84" s="2" t="s">
        <v>17</v>
      </c>
      <c r="F84" s="2" t="s">
        <v>73</v>
      </c>
      <c r="G84" s="3">
        <v>42964</v>
      </c>
      <c r="H84" s="4">
        <v>46500</v>
      </c>
      <c r="I84" s="4">
        <v>0</v>
      </c>
      <c r="J84" s="2" t="s">
        <v>28</v>
      </c>
      <c r="K84" s="2" t="s">
        <v>53</v>
      </c>
      <c r="L84" s="2" t="s">
        <v>21</v>
      </c>
      <c r="M84" s="2">
        <v>9903134235</v>
      </c>
      <c r="N84" t="str">
        <f t="shared" si="6"/>
        <v>Meera Gupta</v>
      </c>
      <c r="O84" s="8">
        <f t="shared" si="7"/>
        <v>46500</v>
      </c>
      <c r="P84">
        <f t="shared" ca="1" si="8"/>
        <v>9</v>
      </c>
      <c r="Q84" t="str">
        <f t="shared" si="9"/>
        <v>C</v>
      </c>
      <c r="R84" t="str">
        <f t="shared" ca="1" si="10"/>
        <v>9+ yrs</v>
      </c>
      <c r="S84" t="str">
        <f>VLOOKUP(E84,Departments!$A$2:$D$6,3,FALSE)</f>
        <v>Rekha Iyer</v>
      </c>
      <c r="T84">
        <f>VLOOKUP(E84,Departments!$A$2:$D$6,4,FALSE)</f>
        <v>5000000</v>
      </c>
      <c r="U84">
        <f t="shared" si="11"/>
        <v>2017</v>
      </c>
    </row>
    <row r="85" spans="1:21" x14ac:dyDescent="0.35">
      <c r="A85" s="2" t="s">
        <v>247</v>
      </c>
      <c r="B85" s="2" t="s">
        <v>61</v>
      </c>
      <c r="C85" s="2" t="s">
        <v>32</v>
      </c>
      <c r="D85" s="2" t="s">
        <v>16</v>
      </c>
      <c r="E85" s="2" t="s">
        <v>51</v>
      </c>
      <c r="F85" s="2" t="s">
        <v>117</v>
      </c>
      <c r="G85" s="3">
        <v>43045</v>
      </c>
      <c r="H85" s="4">
        <v>64500</v>
      </c>
      <c r="I85" s="4">
        <v>0</v>
      </c>
      <c r="J85" s="2" t="s">
        <v>28</v>
      </c>
      <c r="K85" s="2" t="s">
        <v>42</v>
      </c>
      <c r="L85" s="2" t="s">
        <v>21</v>
      </c>
      <c r="M85" s="2">
        <v>9264628456</v>
      </c>
      <c r="N85" t="str">
        <f t="shared" si="6"/>
        <v>Riya Das</v>
      </c>
      <c r="O85" s="8">
        <f t="shared" si="7"/>
        <v>64500</v>
      </c>
      <c r="P85">
        <f t="shared" ca="1" si="8"/>
        <v>8</v>
      </c>
      <c r="Q85" t="str">
        <f t="shared" si="9"/>
        <v>B</v>
      </c>
      <c r="R85" t="str">
        <f t="shared" ca="1" si="10"/>
        <v>6-8 yrs</v>
      </c>
      <c r="S85" t="str">
        <f>VLOOKUP(E85,Departments!$A$2:$D$6,3,FALSE)</f>
        <v>David Miller</v>
      </c>
      <c r="T85">
        <f>VLOOKUP(E85,Departments!$A$2:$D$6,4,FALSE)</f>
        <v>7000000</v>
      </c>
      <c r="U85">
        <f t="shared" si="11"/>
        <v>2017</v>
      </c>
    </row>
    <row r="86" spans="1:21" x14ac:dyDescent="0.35">
      <c r="A86" s="2" t="s">
        <v>249</v>
      </c>
      <c r="B86" s="2" t="s">
        <v>136</v>
      </c>
      <c r="C86" s="2" t="s">
        <v>101</v>
      </c>
      <c r="D86" s="2" t="s">
        <v>16</v>
      </c>
      <c r="E86" s="2" t="s">
        <v>17</v>
      </c>
      <c r="F86" s="2" t="s">
        <v>18</v>
      </c>
      <c r="G86" s="3">
        <v>43012</v>
      </c>
      <c r="H86" s="4">
        <v>51500</v>
      </c>
      <c r="I86" s="4">
        <v>5200</v>
      </c>
      <c r="J86" s="2" t="s">
        <v>28</v>
      </c>
      <c r="K86" s="2" t="s">
        <v>20</v>
      </c>
      <c r="L86" s="2" t="s">
        <v>21</v>
      </c>
      <c r="M86" s="2" t="s">
        <v>292</v>
      </c>
      <c r="N86" t="str">
        <f t="shared" si="6"/>
        <v>Sneha Wilson</v>
      </c>
      <c r="O86" s="8">
        <f t="shared" si="7"/>
        <v>56700</v>
      </c>
      <c r="P86">
        <f t="shared" ca="1" si="8"/>
        <v>9</v>
      </c>
      <c r="Q86" t="str">
        <f t="shared" si="9"/>
        <v>C</v>
      </c>
      <c r="R86" t="str">
        <f t="shared" ca="1" si="10"/>
        <v>9+ yrs</v>
      </c>
      <c r="S86" t="str">
        <f>VLOOKUP(E86,Departments!$A$2:$D$6,3,FALSE)</f>
        <v>Rekha Iyer</v>
      </c>
      <c r="T86">
        <f>VLOOKUP(E86,Departments!$A$2:$D$6,4,FALSE)</f>
        <v>5000000</v>
      </c>
      <c r="U86">
        <f t="shared" si="11"/>
        <v>2017</v>
      </c>
    </row>
    <row r="87" spans="1:21" x14ac:dyDescent="0.35">
      <c r="A87" s="2" t="s">
        <v>250</v>
      </c>
      <c r="B87" s="2" t="s">
        <v>174</v>
      </c>
      <c r="C87" s="2" t="s">
        <v>15</v>
      </c>
      <c r="D87" s="2" t="s">
        <v>39</v>
      </c>
      <c r="E87" s="2" t="s">
        <v>33</v>
      </c>
      <c r="F87" s="2" t="s">
        <v>34</v>
      </c>
      <c r="G87" s="3">
        <v>43841</v>
      </c>
      <c r="H87" s="4">
        <v>95000</v>
      </c>
      <c r="I87" s="4">
        <v>0</v>
      </c>
      <c r="J87" s="2" t="s">
        <v>69</v>
      </c>
      <c r="K87" s="2" t="s">
        <v>29</v>
      </c>
      <c r="L87" s="2" t="s">
        <v>21</v>
      </c>
      <c r="M87" s="2" t="s">
        <v>292</v>
      </c>
      <c r="N87" t="str">
        <f t="shared" si="6"/>
        <v>Amit Khan</v>
      </c>
      <c r="O87" s="8">
        <f t="shared" si="7"/>
        <v>95000</v>
      </c>
      <c r="P87">
        <f t="shared" ca="1" si="8"/>
        <v>6</v>
      </c>
      <c r="Q87" t="str">
        <f t="shared" si="9"/>
        <v>B</v>
      </c>
      <c r="R87" t="str">
        <f t="shared" ca="1" si="10"/>
        <v>6-8 yrs</v>
      </c>
      <c r="S87" t="str">
        <f>VLOOKUP(E87,Departments!$A$2:$D$6,3,FALSE)</f>
        <v>Sunita Rao</v>
      </c>
      <c r="T87">
        <f>VLOOKUP(E87,Departments!$A$2:$D$6,4,FALSE)</f>
        <v>9000000</v>
      </c>
      <c r="U87">
        <f t="shared" si="11"/>
        <v>2020</v>
      </c>
    </row>
    <row r="88" spans="1:21" x14ac:dyDescent="0.35">
      <c r="A88" s="2" t="s">
        <v>251</v>
      </c>
      <c r="B88" s="2" t="s">
        <v>56</v>
      </c>
      <c r="C88" s="2" t="s">
        <v>116</v>
      </c>
      <c r="D88" s="2" t="s">
        <v>39</v>
      </c>
      <c r="E88" s="2" t="s">
        <v>26</v>
      </c>
      <c r="F88" s="2" t="s">
        <v>102</v>
      </c>
      <c r="G88" s="3">
        <v>44104</v>
      </c>
      <c r="H88" s="4">
        <v>109000</v>
      </c>
      <c r="I88" s="4">
        <v>0</v>
      </c>
      <c r="J88" s="2" t="s">
        <v>28</v>
      </c>
      <c r="K88" s="2" t="s">
        <v>42</v>
      </c>
      <c r="L88" s="2" t="s">
        <v>21</v>
      </c>
      <c r="M88" s="2">
        <v>9106807008</v>
      </c>
      <c r="N88" t="str">
        <f t="shared" si="6"/>
        <v>Lucas Gupta</v>
      </c>
      <c r="O88" s="8">
        <f t="shared" si="7"/>
        <v>109000</v>
      </c>
      <c r="P88">
        <f t="shared" ca="1" si="8"/>
        <v>6</v>
      </c>
      <c r="Q88" t="str">
        <f t="shared" si="9"/>
        <v>A</v>
      </c>
      <c r="R88" t="str">
        <f t="shared" ca="1" si="10"/>
        <v>6-8 yrs</v>
      </c>
      <c r="S88" t="str">
        <f>VLOOKUP(E88,Departments!$A$2:$D$6,3,FALSE)</f>
        <v>Anil Kumar</v>
      </c>
      <c r="T88">
        <f>VLOOKUP(E88,Departments!$A$2:$D$6,4,FALSE)</f>
        <v>15000000</v>
      </c>
      <c r="U88">
        <f t="shared" si="11"/>
        <v>2020</v>
      </c>
    </row>
    <row r="89" spans="1:21" x14ac:dyDescent="0.35">
      <c r="A89" s="2" t="s">
        <v>253</v>
      </c>
      <c r="B89" s="2" t="s">
        <v>81</v>
      </c>
      <c r="C89" s="2" t="s">
        <v>82</v>
      </c>
      <c r="D89" s="2" t="s">
        <v>39</v>
      </c>
      <c r="E89" s="2" t="s">
        <v>51</v>
      </c>
      <c r="F89" s="2" t="s">
        <v>87</v>
      </c>
      <c r="G89" s="3">
        <v>42185</v>
      </c>
      <c r="H89" s="4">
        <v>49500</v>
      </c>
      <c r="I89" s="4">
        <v>0</v>
      </c>
      <c r="J89" s="2" t="s">
        <v>62</v>
      </c>
      <c r="K89" s="2" t="s">
        <v>97</v>
      </c>
      <c r="L89" s="2" t="s">
        <v>21</v>
      </c>
      <c r="M89" s="2">
        <v>9318443959</v>
      </c>
      <c r="N89" t="str">
        <f t="shared" si="6"/>
        <v>Imran Sharma</v>
      </c>
      <c r="O89" s="8">
        <f t="shared" si="7"/>
        <v>49500</v>
      </c>
      <c r="P89">
        <f t="shared" ca="1" si="8"/>
        <v>11</v>
      </c>
      <c r="Q89" t="str">
        <f t="shared" si="9"/>
        <v>C</v>
      </c>
      <c r="R89" t="str">
        <f t="shared" ca="1" si="10"/>
        <v>9+ yrs</v>
      </c>
      <c r="S89" t="str">
        <f>VLOOKUP(E89,Departments!$A$2:$D$6,3,FALSE)</f>
        <v>David Miller</v>
      </c>
      <c r="T89">
        <f>VLOOKUP(E89,Departments!$A$2:$D$6,4,FALSE)</f>
        <v>7000000</v>
      </c>
      <c r="U89">
        <f t="shared" si="11"/>
        <v>2015</v>
      </c>
    </row>
    <row r="90" spans="1:21" x14ac:dyDescent="0.35">
      <c r="A90" s="2" t="s">
        <v>255</v>
      </c>
      <c r="B90" s="2" t="s">
        <v>14</v>
      </c>
      <c r="C90" s="2" t="s">
        <v>116</v>
      </c>
      <c r="D90" s="2" t="s">
        <v>16</v>
      </c>
      <c r="E90" s="2" t="s">
        <v>40</v>
      </c>
      <c r="F90" s="2" t="s">
        <v>133</v>
      </c>
      <c r="G90" s="3">
        <v>42324</v>
      </c>
      <c r="H90" s="4">
        <v>65500</v>
      </c>
      <c r="I90" s="4">
        <v>0</v>
      </c>
      <c r="J90" s="2" t="s">
        <v>69</v>
      </c>
      <c r="K90" s="2" t="s">
        <v>35</v>
      </c>
      <c r="L90" s="2" t="s">
        <v>21</v>
      </c>
      <c r="M90" s="2">
        <v>9538269252</v>
      </c>
      <c r="N90" t="str">
        <f t="shared" si="6"/>
        <v>Ananya Gupta</v>
      </c>
      <c r="O90" s="8">
        <f t="shared" si="7"/>
        <v>65500</v>
      </c>
      <c r="P90">
        <f t="shared" ca="1" si="8"/>
        <v>10</v>
      </c>
      <c r="Q90" t="str">
        <f t="shared" si="9"/>
        <v>B</v>
      </c>
      <c r="R90" t="str">
        <f t="shared" ca="1" si="10"/>
        <v>9+ yrs</v>
      </c>
      <c r="S90" t="str">
        <f>VLOOKUP(E90,Departments!$A$2:$D$6,3,FALSE)</f>
        <v>Suresh Menon</v>
      </c>
      <c r="T90">
        <f>VLOOKUP(E90,Departments!$A$2:$D$6,4,FALSE)</f>
        <v>8000000</v>
      </c>
      <c r="U90">
        <f t="shared" si="11"/>
        <v>2015</v>
      </c>
    </row>
    <row r="91" spans="1:21" x14ac:dyDescent="0.35">
      <c r="A91" s="2" t="s">
        <v>257</v>
      </c>
      <c r="B91" s="2" t="s">
        <v>183</v>
      </c>
      <c r="C91" s="2" t="s">
        <v>32</v>
      </c>
      <c r="D91" s="2" t="s">
        <v>39</v>
      </c>
      <c r="E91" s="2" t="s">
        <v>40</v>
      </c>
      <c r="F91" s="2" t="s">
        <v>133</v>
      </c>
      <c r="G91" s="3">
        <v>44679</v>
      </c>
      <c r="H91" s="4">
        <v>51000</v>
      </c>
      <c r="I91" s="4">
        <v>0</v>
      </c>
      <c r="J91" s="2" t="s">
        <v>28</v>
      </c>
      <c r="K91" s="2" t="s">
        <v>20</v>
      </c>
      <c r="L91" s="2" t="s">
        <v>21</v>
      </c>
      <c r="M91" s="2">
        <v>9817056539</v>
      </c>
      <c r="N91" t="str">
        <f t="shared" si="6"/>
        <v>John Das</v>
      </c>
      <c r="O91" s="8">
        <f t="shared" si="7"/>
        <v>51000</v>
      </c>
      <c r="P91">
        <f t="shared" ca="1" si="8"/>
        <v>4</v>
      </c>
      <c r="Q91" t="str">
        <f t="shared" si="9"/>
        <v>C</v>
      </c>
      <c r="R91" t="str">
        <f t="shared" ca="1" si="10"/>
        <v>3-5 yrs</v>
      </c>
      <c r="S91" t="str">
        <f>VLOOKUP(E91,Departments!$A$2:$D$6,3,FALSE)</f>
        <v>Suresh Menon</v>
      </c>
      <c r="T91">
        <f>VLOOKUP(E91,Departments!$A$2:$D$6,4,FALSE)</f>
        <v>8000000</v>
      </c>
      <c r="U91">
        <f t="shared" si="11"/>
        <v>2022</v>
      </c>
    </row>
    <row r="92" spans="1:21" x14ac:dyDescent="0.35">
      <c r="A92" s="2" t="s">
        <v>259</v>
      </c>
      <c r="B92" s="2" t="s">
        <v>100</v>
      </c>
      <c r="C92" s="2" t="s">
        <v>15</v>
      </c>
      <c r="D92" s="2" t="s">
        <v>16</v>
      </c>
      <c r="E92" s="2" t="s">
        <v>40</v>
      </c>
      <c r="F92" s="2" t="s">
        <v>133</v>
      </c>
      <c r="G92" s="3">
        <v>43468</v>
      </c>
      <c r="H92" s="4">
        <v>103000</v>
      </c>
      <c r="I92" s="4">
        <v>5200</v>
      </c>
      <c r="J92" s="2" t="s">
        <v>28</v>
      </c>
      <c r="K92" s="2" t="s">
        <v>35</v>
      </c>
      <c r="L92" s="2" t="s">
        <v>46</v>
      </c>
      <c r="M92" s="2">
        <v>9490607273</v>
      </c>
      <c r="N92" t="str">
        <f t="shared" si="6"/>
        <v>Olivia Khan</v>
      </c>
      <c r="O92" s="8">
        <f t="shared" si="7"/>
        <v>108200</v>
      </c>
      <c r="P92">
        <f t="shared" ca="1" si="8"/>
        <v>7</v>
      </c>
      <c r="Q92" t="str">
        <f t="shared" si="9"/>
        <v>A</v>
      </c>
      <c r="R92" t="str">
        <f t="shared" ca="1" si="10"/>
        <v>6-8 yrs</v>
      </c>
      <c r="S92" t="str">
        <f>VLOOKUP(E92,Departments!$A$2:$D$6,3,FALSE)</f>
        <v>Suresh Menon</v>
      </c>
      <c r="T92">
        <f>VLOOKUP(E92,Departments!$A$2:$D$6,4,FALSE)</f>
        <v>8000000</v>
      </c>
      <c r="U92">
        <f t="shared" si="11"/>
        <v>2019</v>
      </c>
    </row>
    <row r="93" spans="1:21" x14ac:dyDescent="0.35">
      <c r="A93" s="2" t="s">
        <v>261</v>
      </c>
      <c r="B93" s="2" t="s">
        <v>207</v>
      </c>
      <c r="C93" s="2" t="s">
        <v>101</v>
      </c>
      <c r="D93" s="2" t="s">
        <v>16</v>
      </c>
      <c r="E93" s="2" t="s">
        <v>26</v>
      </c>
      <c r="F93" s="2" t="s">
        <v>91</v>
      </c>
      <c r="G93" s="3">
        <v>42646</v>
      </c>
      <c r="H93" s="4">
        <v>117000</v>
      </c>
      <c r="I93" s="4">
        <v>5800</v>
      </c>
      <c r="J93" s="2" t="s">
        <v>69</v>
      </c>
      <c r="K93" s="2" t="s">
        <v>42</v>
      </c>
      <c r="L93" s="2" t="s">
        <v>21</v>
      </c>
      <c r="M93" s="2">
        <v>9491622763</v>
      </c>
      <c r="N93" t="str">
        <f t="shared" si="6"/>
        <v>Neha Wilson</v>
      </c>
      <c r="O93" s="8">
        <f t="shared" si="7"/>
        <v>122800</v>
      </c>
      <c r="P93">
        <f t="shared" ca="1" si="8"/>
        <v>10</v>
      </c>
      <c r="Q93" t="str">
        <f t="shared" si="9"/>
        <v>A</v>
      </c>
      <c r="R93" t="str">
        <f t="shared" ca="1" si="10"/>
        <v>9+ yrs</v>
      </c>
      <c r="S93" t="str">
        <f>VLOOKUP(E93,Departments!$A$2:$D$6,3,FALSE)</f>
        <v>Anil Kumar</v>
      </c>
      <c r="T93">
        <f>VLOOKUP(E93,Departments!$A$2:$D$6,4,FALSE)</f>
        <v>15000000</v>
      </c>
      <c r="U93">
        <f t="shared" si="11"/>
        <v>2016</v>
      </c>
    </row>
    <row r="94" spans="1:21" x14ac:dyDescent="0.35">
      <c r="A94" s="2" t="s">
        <v>263</v>
      </c>
      <c r="B94" s="2" t="s">
        <v>152</v>
      </c>
      <c r="C94" s="2" t="s">
        <v>45</v>
      </c>
      <c r="D94" s="2" t="s">
        <v>39</v>
      </c>
      <c r="E94" s="2" t="s">
        <v>40</v>
      </c>
      <c r="F94" s="2" t="s">
        <v>83</v>
      </c>
      <c r="G94" s="3">
        <v>44629</v>
      </c>
      <c r="H94" s="4">
        <v>54500</v>
      </c>
      <c r="I94" s="4">
        <v>2700</v>
      </c>
      <c r="J94" s="2" t="s">
        <v>69</v>
      </c>
      <c r="K94" s="2" t="s">
        <v>53</v>
      </c>
      <c r="L94" s="2" t="s">
        <v>21</v>
      </c>
      <c r="M94" s="2">
        <v>9641663093</v>
      </c>
      <c r="N94" t="str">
        <f t="shared" si="6"/>
        <v>Aarav Nair</v>
      </c>
      <c r="O94" s="8">
        <f t="shared" si="7"/>
        <v>57200</v>
      </c>
      <c r="P94">
        <f t="shared" ca="1" si="8"/>
        <v>4</v>
      </c>
      <c r="Q94" t="str">
        <f t="shared" si="9"/>
        <v>C</v>
      </c>
      <c r="R94" t="str">
        <f t="shared" ca="1" si="10"/>
        <v>3-5 yrs</v>
      </c>
      <c r="S94" t="str">
        <f>VLOOKUP(E94,Departments!$A$2:$D$6,3,FALSE)</f>
        <v>Suresh Menon</v>
      </c>
      <c r="T94">
        <f>VLOOKUP(E94,Departments!$A$2:$D$6,4,FALSE)</f>
        <v>8000000</v>
      </c>
      <c r="U94">
        <f t="shared" si="11"/>
        <v>2022</v>
      </c>
    </row>
    <row r="95" spans="1:21" x14ac:dyDescent="0.35">
      <c r="A95" s="2" t="s">
        <v>265</v>
      </c>
      <c r="B95" s="2" t="s">
        <v>14</v>
      </c>
      <c r="C95" s="2" t="s">
        <v>15</v>
      </c>
      <c r="D95" s="2" t="s">
        <v>16</v>
      </c>
      <c r="E95" s="2" t="s">
        <v>40</v>
      </c>
      <c r="F95" s="2" t="s">
        <v>133</v>
      </c>
      <c r="G95" s="3">
        <v>42279</v>
      </c>
      <c r="H95" s="4">
        <v>56500</v>
      </c>
      <c r="I95" s="4">
        <v>0</v>
      </c>
      <c r="J95" s="2" t="s">
        <v>28</v>
      </c>
      <c r="K95" s="2" t="s">
        <v>42</v>
      </c>
      <c r="L95" s="2" t="s">
        <v>21</v>
      </c>
      <c r="M95" s="2">
        <v>9964050516</v>
      </c>
      <c r="N95" t="str">
        <f t="shared" si="6"/>
        <v>Ananya Khan</v>
      </c>
      <c r="O95" s="8">
        <f t="shared" si="7"/>
        <v>56500</v>
      </c>
      <c r="P95">
        <f t="shared" ca="1" si="8"/>
        <v>11</v>
      </c>
      <c r="Q95" t="str">
        <f t="shared" si="9"/>
        <v>C</v>
      </c>
      <c r="R95" t="str">
        <f t="shared" ca="1" si="10"/>
        <v>9+ yrs</v>
      </c>
      <c r="S95" t="str">
        <f>VLOOKUP(E95,Departments!$A$2:$D$6,3,FALSE)</f>
        <v>Suresh Menon</v>
      </c>
      <c r="T95">
        <f>VLOOKUP(E95,Departments!$A$2:$D$6,4,FALSE)</f>
        <v>8000000</v>
      </c>
      <c r="U95">
        <f t="shared" si="11"/>
        <v>2015</v>
      </c>
    </row>
    <row r="96" spans="1:21" x14ac:dyDescent="0.35">
      <c r="A96" s="2" t="s">
        <v>267</v>
      </c>
      <c r="B96" s="2" t="s">
        <v>56</v>
      </c>
      <c r="C96" s="2" t="s">
        <v>45</v>
      </c>
      <c r="D96" s="2" t="s">
        <v>39</v>
      </c>
      <c r="E96" s="2" t="s">
        <v>17</v>
      </c>
      <c r="F96" s="2" t="s">
        <v>58</v>
      </c>
      <c r="G96" s="3">
        <v>42223</v>
      </c>
      <c r="H96" s="4">
        <v>55500</v>
      </c>
      <c r="I96" s="4">
        <v>5600</v>
      </c>
      <c r="J96" s="2" t="s">
        <v>62</v>
      </c>
      <c r="K96" s="2" t="s">
        <v>42</v>
      </c>
      <c r="L96" s="2" t="s">
        <v>21</v>
      </c>
      <c r="M96" s="2">
        <v>9766088191</v>
      </c>
      <c r="N96" t="str">
        <f t="shared" si="6"/>
        <v>Lucas Nair</v>
      </c>
      <c r="O96" s="8">
        <f t="shared" si="7"/>
        <v>61100</v>
      </c>
      <c r="P96">
        <f t="shared" ca="1" si="8"/>
        <v>11</v>
      </c>
      <c r="Q96" t="str">
        <f t="shared" si="9"/>
        <v>C</v>
      </c>
      <c r="R96" t="str">
        <f t="shared" ca="1" si="10"/>
        <v>9+ yrs</v>
      </c>
      <c r="S96" t="str">
        <f>VLOOKUP(E96,Departments!$A$2:$D$6,3,FALSE)</f>
        <v>Rekha Iyer</v>
      </c>
      <c r="T96">
        <f>VLOOKUP(E96,Departments!$A$2:$D$6,4,FALSE)</f>
        <v>5000000</v>
      </c>
      <c r="U96">
        <f t="shared" si="11"/>
        <v>2015</v>
      </c>
    </row>
    <row r="97" spans="1:21" x14ac:dyDescent="0.35">
      <c r="A97" s="2" t="s">
        <v>269</v>
      </c>
      <c r="B97" s="2" t="s">
        <v>61</v>
      </c>
      <c r="C97" s="2" t="s">
        <v>146</v>
      </c>
      <c r="D97" s="2" t="s">
        <v>16</v>
      </c>
      <c r="E97" s="2" t="s">
        <v>33</v>
      </c>
      <c r="F97" s="2" t="s">
        <v>121</v>
      </c>
      <c r="G97" s="3">
        <v>43942</v>
      </c>
      <c r="H97" s="4">
        <v>94500</v>
      </c>
      <c r="I97" s="4">
        <v>0</v>
      </c>
      <c r="J97" s="2" t="s">
        <v>28</v>
      </c>
      <c r="K97" s="2" t="s">
        <v>20</v>
      </c>
      <c r="L97" s="2" t="s">
        <v>21</v>
      </c>
      <c r="M97" s="2">
        <v>9268017943</v>
      </c>
      <c r="N97" t="str">
        <f t="shared" si="6"/>
        <v>Riya Brown</v>
      </c>
      <c r="O97" s="8">
        <f t="shared" si="7"/>
        <v>94500</v>
      </c>
      <c r="P97">
        <f t="shared" ca="1" si="8"/>
        <v>6</v>
      </c>
      <c r="Q97" t="str">
        <f t="shared" si="9"/>
        <v>B</v>
      </c>
      <c r="R97" t="str">
        <f t="shared" ca="1" si="10"/>
        <v>6-8 yrs</v>
      </c>
      <c r="S97" t="str">
        <f>VLOOKUP(E97,Departments!$A$2:$D$6,3,FALSE)</f>
        <v>Sunita Rao</v>
      </c>
      <c r="T97">
        <f>VLOOKUP(E97,Departments!$A$2:$D$6,4,FALSE)</f>
        <v>9000000</v>
      </c>
      <c r="U97">
        <f t="shared" si="11"/>
        <v>2020</v>
      </c>
    </row>
    <row r="98" spans="1:21" x14ac:dyDescent="0.35">
      <c r="A98" s="2" t="s">
        <v>271</v>
      </c>
      <c r="B98" s="2" t="s">
        <v>105</v>
      </c>
      <c r="C98" s="2" t="s">
        <v>32</v>
      </c>
      <c r="D98" s="2" t="s">
        <v>39</v>
      </c>
      <c r="E98" s="2" t="s">
        <v>33</v>
      </c>
      <c r="F98" s="2" t="s">
        <v>34</v>
      </c>
      <c r="G98" s="3">
        <v>44308</v>
      </c>
      <c r="H98" s="4">
        <v>42500</v>
      </c>
      <c r="I98" s="4">
        <v>0</v>
      </c>
      <c r="J98" s="2" t="s">
        <v>19</v>
      </c>
      <c r="K98" s="2" t="s">
        <v>97</v>
      </c>
      <c r="L98" s="2" t="s">
        <v>21</v>
      </c>
      <c r="M98" s="2">
        <v>9589340112</v>
      </c>
      <c r="N98" t="str">
        <f t="shared" si="6"/>
        <v>Rohan Das</v>
      </c>
      <c r="O98" s="8">
        <f t="shared" si="7"/>
        <v>42500</v>
      </c>
      <c r="P98">
        <f t="shared" ca="1" si="8"/>
        <v>5</v>
      </c>
      <c r="Q98" t="str">
        <f t="shared" si="9"/>
        <v>C</v>
      </c>
      <c r="R98" t="str">
        <f t="shared" ca="1" si="10"/>
        <v>3-5 yrs</v>
      </c>
      <c r="S98" t="str">
        <f>VLOOKUP(E98,Departments!$A$2:$D$6,3,FALSE)</f>
        <v>Sunita Rao</v>
      </c>
      <c r="T98">
        <f>VLOOKUP(E98,Departments!$A$2:$D$6,4,FALSE)</f>
        <v>9000000</v>
      </c>
      <c r="U98">
        <f t="shared" si="11"/>
        <v>2021</v>
      </c>
    </row>
    <row r="99" spans="1:21" x14ac:dyDescent="0.35">
      <c r="A99" s="2" t="s">
        <v>273</v>
      </c>
      <c r="B99" s="2" t="s">
        <v>61</v>
      </c>
      <c r="C99" s="2" t="s">
        <v>86</v>
      </c>
      <c r="D99" s="2" t="s">
        <v>16</v>
      </c>
      <c r="E99" s="2" t="s">
        <v>33</v>
      </c>
      <c r="F99" s="2" t="s">
        <v>121</v>
      </c>
      <c r="G99" s="3">
        <v>43599</v>
      </c>
      <c r="H99" s="4">
        <v>68000</v>
      </c>
      <c r="I99" s="4">
        <v>0</v>
      </c>
      <c r="J99" s="2" t="s">
        <v>28</v>
      </c>
      <c r="K99" s="2" t="s">
        <v>42</v>
      </c>
      <c r="L99" s="2" t="s">
        <v>21</v>
      </c>
      <c r="M99" s="2" t="s">
        <v>292</v>
      </c>
      <c r="N99" t="str">
        <f t="shared" si="6"/>
        <v>Riya Taylor</v>
      </c>
      <c r="O99" s="8">
        <f t="shared" si="7"/>
        <v>68000</v>
      </c>
      <c r="P99">
        <f t="shared" ca="1" si="8"/>
        <v>7</v>
      </c>
      <c r="Q99" t="str">
        <f t="shared" si="9"/>
        <v>B</v>
      </c>
      <c r="R99" t="str">
        <f t="shared" ca="1" si="10"/>
        <v>6-8 yrs</v>
      </c>
      <c r="S99" t="str">
        <f>VLOOKUP(E99,Departments!$A$2:$D$6,3,FALSE)</f>
        <v>Sunita Rao</v>
      </c>
      <c r="T99">
        <f>VLOOKUP(E99,Departments!$A$2:$D$6,4,FALSE)</f>
        <v>9000000</v>
      </c>
      <c r="U99">
        <f t="shared" si="11"/>
        <v>2019</v>
      </c>
    </row>
    <row r="100" spans="1:21" x14ac:dyDescent="0.35">
      <c r="A100" s="2" t="s">
        <v>274</v>
      </c>
      <c r="B100" s="2" t="s">
        <v>109</v>
      </c>
      <c r="C100" s="2" t="s">
        <v>113</v>
      </c>
      <c r="D100" s="2" t="s">
        <v>16</v>
      </c>
      <c r="E100" s="2" t="s">
        <v>40</v>
      </c>
      <c r="F100" s="2" t="s">
        <v>133</v>
      </c>
      <c r="G100" s="3">
        <v>45359</v>
      </c>
      <c r="H100" s="4">
        <v>96000</v>
      </c>
      <c r="I100" s="4">
        <v>4800</v>
      </c>
      <c r="J100" s="2" t="s">
        <v>19</v>
      </c>
      <c r="K100" s="2" t="s">
        <v>97</v>
      </c>
      <c r="L100" s="2" t="s">
        <v>21</v>
      </c>
      <c r="M100" s="2">
        <v>9172070263</v>
      </c>
      <c r="N100" t="str">
        <f t="shared" si="6"/>
        <v>Sophia Reddy</v>
      </c>
      <c r="O100" s="8">
        <f t="shared" si="7"/>
        <v>100800</v>
      </c>
      <c r="P100">
        <f t="shared" ca="1" si="8"/>
        <v>2</v>
      </c>
      <c r="Q100" t="str">
        <f t="shared" si="9"/>
        <v>B</v>
      </c>
      <c r="R100" t="str">
        <f t="shared" ca="1" si="10"/>
        <v>0-2 yrs</v>
      </c>
      <c r="S100" t="str">
        <f>VLOOKUP(E100,Departments!$A$2:$D$6,3,FALSE)</f>
        <v>Suresh Menon</v>
      </c>
      <c r="T100">
        <f>VLOOKUP(E100,Departments!$A$2:$D$6,4,FALSE)</f>
        <v>8000000</v>
      </c>
      <c r="U100">
        <f t="shared" si="11"/>
        <v>2024</v>
      </c>
    </row>
    <row r="101" spans="1:21" x14ac:dyDescent="0.35">
      <c r="A101" s="2" t="s">
        <v>276</v>
      </c>
      <c r="B101" s="2" t="s">
        <v>136</v>
      </c>
      <c r="C101" s="2" t="s">
        <v>175</v>
      </c>
      <c r="D101" s="2" t="s">
        <v>16</v>
      </c>
      <c r="E101" s="2" t="s">
        <v>17</v>
      </c>
      <c r="F101" s="2" t="s">
        <v>18</v>
      </c>
      <c r="G101" s="3">
        <v>44094</v>
      </c>
      <c r="H101" s="4">
        <v>68000</v>
      </c>
      <c r="I101" s="4">
        <v>0</v>
      </c>
      <c r="J101" s="2" t="s">
        <v>69</v>
      </c>
      <c r="K101" s="2" t="s">
        <v>29</v>
      </c>
      <c r="L101" s="2" t="s">
        <v>21</v>
      </c>
      <c r="M101" s="2">
        <v>9436860564</v>
      </c>
      <c r="N101" t="str">
        <f t="shared" si="6"/>
        <v>Sneha Singh</v>
      </c>
      <c r="O101" s="8">
        <f t="shared" si="7"/>
        <v>68000</v>
      </c>
      <c r="P101">
        <f t="shared" ca="1" si="8"/>
        <v>6</v>
      </c>
      <c r="Q101" t="str">
        <f t="shared" si="9"/>
        <v>B</v>
      </c>
      <c r="R101" t="str">
        <f t="shared" ca="1" si="10"/>
        <v>6-8 yrs</v>
      </c>
      <c r="S101" t="str">
        <f>VLOOKUP(E101,Departments!$A$2:$D$6,3,FALSE)</f>
        <v>Rekha Iyer</v>
      </c>
      <c r="T101">
        <f>VLOOKUP(E101,Departments!$A$2:$D$6,4,FALSE)</f>
        <v>5000000</v>
      </c>
      <c r="U101">
        <f t="shared" si="11"/>
        <v>2020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16" customWidth="1"/>
    <col min="2" max="2" width="14" customWidth="1"/>
    <col min="3" max="3" width="18" customWidth="1"/>
    <col min="4" max="4" width="16" customWidth="1"/>
  </cols>
  <sheetData>
    <row r="1" spans="1:4" x14ac:dyDescent="0.35">
      <c r="A1" s="5" t="s">
        <v>4</v>
      </c>
      <c r="B1" s="5" t="s">
        <v>278</v>
      </c>
      <c r="C1" s="5" t="s">
        <v>279</v>
      </c>
      <c r="D1" s="5" t="s">
        <v>280</v>
      </c>
    </row>
    <row r="2" spans="1:4" x14ac:dyDescent="0.35">
      <c r="A2" s="6" t="s">
        <v>26</v>
      </c>
      <c r="B2" s="6" t="s">
        <v>20</v>
      </c>
      <c r="C2" s="6" t="s">
        <v>281</v>
      </c>
      <c r="D2" s="7">
        <v>15000000</v>
      </c>
    </row>
    <row r="3" spans="1:4" x14ac:dyDescent="0.35">
      <c r="A3" s="6" t="s">
        <v>33</v>
      </c>
      <c r="B3" s="6" t="s">
        <v>42</v>
      </c>
      <c r="C3" s="6" t="s">
        <v>282</v>
      </c>
      <c r="D3" s="7">
        <v>9000000</v>
      </c>
    </row>
    <row r="4" spans="1:4" x14ac:dyDescent="0.35">
      <c r="A4" s="6" t="s">
        <v>51</v>
      </c>
      <c r="B4" s="6" t="s">
        <v>53</v>
      </c>
      <c r="C4" s="6" t="s">
        <v>283</v>
      </c>
      <c r="D4" s="7">
        <v>7000000</v>
      </c>
    </row>
    <row r="5" spans="1:4" x14ac:dyDescent="0.35">
      <c r="A5" s="6" t="s">
        <v>17</v>
      </c>
      <c r="B5" s="6" t="s">
        <v>97</v>
      </c>
      <c r="C5" s="6" t="s">
        <v>284</v>
      </c>
      <c r="D5" s="7">
        <v>5000000</v>
      </c>
    </row>
    <row r="6" spans="1:4" x14ac:dyDescent="0.35">
      <c r="A6" s="6" t="s">
        <v>40</v>
      </c>
      <c r="B6" s="6" t="s">
        <v>29</v>
      </c>
      <c r="C6" s="6" t="s">
        <v>285</v>
      </c>
      <c r="D6" s="7">
        <v>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30CB-FDA8-47AE-90DE-ACC84F898903}">
  <sheetPr>
    <tabColor rgb="FF1D2330"/>
  </sheetPr>
  <dimension ref="A1:B30"/>
  <sheetViews>
    <sheetView showGridLines="0" workbookViewId="0">
      <selection activeCell="E10" sqref="E10"/>
    </sheetView>
  </sheetViews>
  <sheetFormatPr defaultRowHeight="14.5" x14ac:dyDescent="0.35"/>
  <cols>
    <col min="1" max="1" width="35.453125" customWidth="1"/>
    <col min="2" max="2" width="49.08984375" customWidth="1"/>
  </cols>
  <sheetData>
    <row r="1" spans="1:2" ht="21.5" thickBot="1" x14ac:dyDescent="0.55000000000000004">
      <c r="A1" s="16" t="s">
        <v>324</v>
      </c>
      <c r="B1" s="16"/>
    </row>
    <row r="2" spans="1:2" ht="15" thickTop="1" x14ac:dyDescent="0.35"/>
    <row r="3" spans="1:2" x14ac:dyDescent="0.35">
      <c r="A3" s="17" t="s">
        <v>325</v>
      </c>
      <c r="B3" s="17"/>
    </row>
    <row r="4" spans="1:2" x14ac:dyDescent="0.35">
      <c r="A4" t="s">
        <v>326</v>
      </c>
    </row>
    <row r="6" spans="1:2" x14ac:dyDescent="0.35">
      <c r="A6" s="18" t="s">
        <v>327</v>
      </c>
      <c r="B6" s="18"/>
    </row>
    <row r="7" spans="1:2" x14ac:dyDescent="0.35">
      <c r="A7" t="s">
        <v>328</v>
      </c>
      <c r="B7">
        <v>100</v>
      </c>
    </row>
    <row r="8" spans="1:2" x14ac:dyDescent="0.35">
      <c r="A8" t="s">
        <v>21</v>
      </c>
      <c r="B8">
        <v>90</v>
      </c>
    </row>
    <row r="9" spans="1:2" x14ac:dyDescent="0.35">
      <c r="A9" t="s">
        <v>46</v>
      </c>
      <c r="B9">
        <v>9</v>
      </c>
    </row>
    <row r="10" spans="1:2" x14ac:dyDescent="0.35">
      <c r="A10" t="s">
        <v>329</v>
      </c>
      <c r="B10">
        <v>1</v>
      </c>
    </row>
    <row r="11" spans="1:2" x14ac:dyDescent="0.35">
      <c r="A11" t="s">
        <v>330</v>
      </c>
      <c r="B11">
        <v>0.09</v>
      </c>
    </row>
    <row r="13" spans="1:2" x14ac:dyDescent="0.35">
      <c r="A13" s="18" t="s">
        <v>331</v>
      </c>
      <c r="B13" s="18"/>
    </row>
    <row r="14" spans="1:2" x14ac:dyDescent="0.35">
      <c r="A14" t="s">
        <v>332</v>
      </c>
      <c r="B14">
        <v>7046500</v>
      </c>
    </row>
    <row r="15" spans="1:2" x14ac:dyDescent="0.35">
      <c r="A15" t="s">
        <v>333</v>
      </c>
      <c r="B15">
        <v>70465</v>
      </c>
    </row>
    <row r="16" spans="1:2" x14ac:dyDescent="0.35">
      <c r="A16" t="s">
        <v>334</v>
      </c>
      <c r="B16" t="s">
        <v>335</v>
      </c>
    </row>
    <row r="17" spans="1:2" x14ac:dyDescent="0.35">
      <c r="A17" t="s">
        <v>336</v>
      </c>
      <c r="B17" t="s">
        <v>337</v>
      </c>
    </row>
    <row r="18" spans="1:2" x14ac:dyDescent="0.35">
      <c r="A18" t="s">
        <v>338</v>
      </c>
      <c r="B18" t="s">
        <v>339</v>
      </c>
    </row>
    <row r="20" spans="1:2" x14ac:dyDescent="0.35">
      <c r="A20" s="18" t="s">
        <v>340</v>
      </c>
      <c r="B20" s="18"/>
    </row>
    <row r="21" spans="1:2" x14ac:dyDescent="0.35">
      <c r="A21" t="s">
        <v>341</v>
      </c>
      <c r="B21" t="s">
        <v>342</v>
      </c>
    </row>
    <row r="22" spans="1:2" x14ac:dyDescent="0.35">
      <c r="A22" t="s">
        <v>343</v>
      </c>
      <c r="B22" t="s">
        <v>344</v>
      </c>
    </row>
    <row r="23" spans="1:2" x14ac:dyDescent="0.35">
      <c r="A23" t="s">
        <v>345</v>
      </c>
      <c r="B23" t="s">
        <v>346</v>
      </c>
    </row>
    <row r="25" spans="1:2" x14ac:dyDescent="0.35">
      <c r="A25" s="18" t="s">
        <v>347</v>
      </c>
      <c r="B25" s="18"/>
    </row>
    <row r="26" spans="1:2" x14ac:dyDescent="0.35">
      <c r="A26" t="s">
        <v>348</v>
      </c>
      <c r="B26" t="s">
        <v>349</v>
      </c>
    </row>
    <row r="27" spans="1:2" x14ac:dyDescent="0.35">
      <c r="A27" t="s">
        <v>350</v>
      </c>
      <c r="B27" t="s">
        <v>351</v>
      </c>
    </row>
    <row r="28" spans="1:2" x14ac:dyDescent="0.35">
      <c r="A28" t="s">
        <v>352</v>
      </c>
      <c r="B28" t="s">
        <v>353</v>
      </c>
    </row>
    <row r="30" spans="1:2" x14ac:dyDescent="0.35">
      <c r="A30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Employees</vt:lpstr>
      <vt:lpstr>Hr Dashboard</vt:lpstr>
      <vt:lpstr>Data_Clean</vt:lpstr>
      <vt:lpstr>Departments</vt:lpstr>
      <vt:lpstr>Report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Sowmiya K</cp:lastModifiedBy>
  <dcterms:created xsi:type="dcterms:W3CDTF">2026-10-27T11:55:10Z</dcterms:created>
  <dcterms:modified xsi:type="dcterms:W3CDTF">2026-10-27T14:37:32Z</dcterms:modified>
</cp:coreProperties>
</file>